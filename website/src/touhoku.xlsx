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temp\"/>
    </mc:Choice>
  </mc:AlternateContent>
  <xr:revisionPtr revIDLastSave="0" documentId="13_ncr:1_{028B2B05-924E-4DC9-8B0A-6D209CE58448}" xr6:coauthVersionLast="47" xr6:coauthVersionMax="47" xr10:uidLastSave="{00000000-0000-0000-0000-000000000000}"/>
  <bookViews>
    <workbookView xWindow="-18120" yWindow="-6735" windowWidth="18240" windowHeight="28320" firstSheet="1" activeTab="2" xr2:uid="{00000000-000D-0000-FFFF-FFFF00000000}"/>
  </bookViews>
  <sheets>
    <sheet name="Cover" sheetId="4" r:id="rId1"/>
    <sheet name="Itinerary" sheetId="1" r:id="rId2"/>
    <sheet name="Core Route" sheetId="3" r:id="rId3"/>
    <sheet name="Booking Note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3" l="1"/>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I8" i="3"/>
  <c r="E8" i="3"/>
  <c r="C8" i="3"/>
  <c r="I49" i="1"/>
  <c r="I8" i="1"/>
  <c r="E8" i="1"/>
  <c r="C8"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alcChain>
</file>

<file path=xl/sharedStrings.xml><?xml version="1.0" encoding="utf-8"?>
<sst xmlns="http://schemas.openxmlformats.org/spreadsheetml/2006/main" count="538" uniqueCount="348">
  <si>
    <t>TOHOKU SILVER WEEK — 5-DAY JR EAST LOOP</t>
  </si>
  <si>
    <t>Tokyo → five Tohoku prefectures → Tokyo | Sat 19 Sep–Wed 23 Sep 2026 | Fast-paced</t>
  </si>
  <si>
    <t>AREAS</t>
  </si>
  <si>
    <t>RAIL/TRAVEL TIME</t>
  </si>
  <si>
    <t>SIGHTSEEING TIME</t>
  </si>
  <si>
    <t>OVERNIGHTS</t>
  </si>
  <si>
    <t>DETAILED SCHEDULE</t>
  </si>
  <si>
    <t>Date</t>
  </si>
  <si>
    <t>Start</t>
  </si>
  <si>
    <t>End</t>
  </si>
  <si>
    <t>Duration</t>
  </si>
  <si>
    <t>Type</t>
  </si>
  <si>
    <t>Area / Route</t>
  </si>
  <si>
    <t>Schedule &amp; logistics</t>
  </si>
  <si>
    <t>Stay / booking</t>
  </si>
  <si>
    <t>Travel</t>
  </si>
  <si>
    <t>Tokyo → Sendai</t>
  </si>
  <si>
    <t>Reserve now; overnight Sendai</t>
  </si>
  <si>
    <t>JR pass covered</t>
  </si>
  <si>
    <t>Visit</t>
  </si>
  <si>
    <t>Break</t>
  </si>
  <si>
    <t>Sendai</t>
  </si>
  <si>
    <t>Hotel near station recommended</t>
  </si>
  <si>
    <t>Local bus/taxi not included</t>
  </si>
  <si>
    <t>Sendai → Matsushima-Kaigan</t>
  </si>
  <si>
    <t>Matsushima</t>
  </si>
  <si>
    <t>Boat/temple admission extra</t>
  </si>
  <si>
    <t>Matsushima-Kaigan → Sendai</t>
  </si>
  <si>
    <t>Hiraizumi</t>
  </si>
  <si>
    <t>Hiraizumi → Morioka</t>
  </si>
  <si>
    <t>Morioka</t>
  </si>
  <si>
    <t>Overnight Morioka</t>
  </si>
  <si>
    <t>Morioka → Kakunodate</t>
  </si>
  <si>
    <t>Reserve now</t>
  </si>
  <si>
    <t>Kakunodate</t>
  </si>
  <si>
    <t>Kakunodate → Akita</t>
  </si>
  <si>
    <t>Reserve now; overnight Akita</t>
  </si>
  <si>
    <t>Akita</t>
  </si>
  <si>
    <t>Overnight Akita</t>
  </si>
  <si>
    <t>Akita → Hirosaki</t>
  </si>
  <si>
    <t>Limited Express Tsugaru 41 planning slot; verify final arrival/platform in JR East search.</t>
  </si>
  <si>
    <t>Hirosaki</t>
  </si>
  <si>
    <t>Hirosaki Park, moats, gates and keep exterior; then preserved merchant/samurai streets.</t>
  </si>
  <si>
    <t>Keep interior closed for restoration</t>
  </si>
  <si>
    <t>Hirosaki → Aomori</t>
  </si>
  <si>
    <t>JR Ou Main Line; keep a later train as backup.</t>
  </si>
  <si>
    <t>JR pass covered; overnight Aomori</t>
  </si>
  <si>
    <t>Aomori</t>
  </si>
  <si>
    <t>Aomori Bay Bridge, A-FACTORY and seafood dinner near the station.</t>
  </si>
  <si>
    <t>Overnight Aomori</t>
  </si>
  <si>
    <t>Nebuta Museum WA RASSE; September hours 09:00–18:00.</t>
  </si>
  <si>
    <t>Next to Aomori Station</t>
  </si>
  <si>
    <t>Waterfront, A-FACTORY shopping and early lunch pickup.</t>
  </si>
  <si>
    <t>Keep to time</t>
  </si>
  <si>
    <t>Aomori → Shin-Aomori</t>
  </si>
  <si>
    <t>JR Ou Main Line; allow a 22-minute Shinkansen transfer.</t>
  </si>
  <si>
    <t>Shin-Aomori → Hachinohe</t>
  </si>
  <si>
    <t>Hayabusa 18 planning slot.</t>
  </si>
  <si>
    <t>Hachinohe</t>
  </si>
  <si>
    <t>Hasshoku Center for seafood lunch; return to the station by 16:25.</t>
  </si>
  <si>
    <t>Hachinohe → Tokyo</t>
  </si>
  <si>
    <t>Hayabusa 34 direct; final return during peak holiday traffic.</t>
  </si>
  <si>
    <t>Reserve immediately; JR pass covered</t>
  </si>
  <si>
    <t>BOOKING &amp; OPERATING NOTES</t>
  </si>
  <si>
    <t>Book the rail seats and hotels in this order; Silver Week demand is already active.</t>
  </si>
  <si>
    <t>BOOK FIRST</t>
  </si>
  <si>
    <t>Priority</t>
  </si>
  <si>
    <t>Reservation</t>
  </si>
  <si>
    <t>Target</t>
  </si>
  <si>
    <t>Reason</t>
  </si>
  <si>
    <t>JR EAST PASS</t>
  </si>
  <si>
    <t>5 consecutive days: Sep 19–23</t>
  </si>
  <si>
    <t>Current official adult price ¥35,000; ordinary reserved seats included within coverage.</t>
  </si>
  <si>
    <t>Limited Express Tsugaru 41</t>
  </si>
  <si>
    <t>Sep 22, Akita 08:39 northbound</t>
  </si>
  <si>
    <t>Limited frequency; missing it materially reduces Hirosaki time.</t>
  </si>
  <si>
    <t>Luggage plan</t>
  </si>
  <si>
    <t>Carry-on only or station lockers</t>
  </si>
  <si>
    <t>Transfers of 15–25 minutes leave no time for large luggage handling.</t>
  </si>
  <si>
    <t>PASS &amp; COST NOTES</t>
  </si>
  <si>
    <t>JR EAST PASS price</t>
  </si>
  <si>
    <t>Validity</t>
  </si>
  <si>
    <t>Areas in route</t>
  </si>
  <si>
    <t>Prefectures visited</t>
  </si>
  <si>
    <t>Overnight cities</t>
  </si>
  <si>
    <t>Not covered: city buses/taxis, Matsushima cruise, attraction admissions, meals and hotels. Carry cash for smaller local transport and admissions. The pass is for eligible foreign visitors; confirm purchase eligibility and passport requirements before buying.</t>
  </si>
  <si>
    <t>CRITICAL OPERATING NOTES</t>
  </si>
  <si>
    <t>Crowds</t>
  </si>
  <si>
    <t>Sep 19–23 is a five-day national holiday period. Reserve now and arrive 20–30 minutes before every Shinkansen.</t>
  </si>
  <si>
    <t>Timetable check</t>
  </si>
  <si>
    <t>Re-run every train in JR East's September 2026 timetable 48 hours before travel, especially seasonal/limited services.</t>
  </si>
  <si>
    <t>Weather</t>
  </si>
  <si>
    <t>September can bring heavy rain or typhoon disruption. If rail service is affected, skip Hachinohe first and return from Shin-Aomori.</t>
  </si>
  <si>
    <t>The castle keep interior is closed for renovation; the park, gates, moats and exterior remain the visit focus.</t>
  </si>
  <si>
    <t>Pacing</t>
  </si>
  <si>
    <t>If behind schedule, drop Motsuji on Day 2 and the Hachinohe market on Day 5; protect the booked long-distance trains.</t>
  </si>
  <si>
    <t>SOURCES — CHECK BEFORE TRAVEL</t>
  </si>
  <si>
    <t>Source</t>
  </si>
  <si>
    <t>URL</t>
  </si>
  <si>
    <t>JR EAST PASS official</t>
  </si>
  <si>
    <t>https://www.jreast.co.jp/multi/pass/eastpass.html</t>
  </si>
  <si>
    <t>JR East September 2026 timetables</t>
  </si>
  <si>
    <t>https://timetables.jreast.co.jp/en/</t>
  </si>
  <si>
    <t>Chusonji official</t>
    <phoneticPr fontId="7"/>
  </si>
  <si>
    <t>https://chusonji.or.jp/</t>
    <phoneticPr fontId="7"/>
  </si>
  <si>
    <t>Hirosaki Park official</t>
    <phoneticPr fontId="7"/>
  </si>
  <si>
    <t>https://www.hirosakipark.com/en/</t>
    <phoneticPr fontId="7"/>
  </si>
  <si>
    <t>Nebuta Museum WA RASSE official</t>
    <phoneticPr fontId="7"/>
  </si>
  <si>
    <t>https://www.nebuta.jp/warasse/shisetsu/business-day.html</t>
    <phoneticPr fontId="7"/>
  </si>
  <si>
    <t>Leave luggage near Sendai Station and have a quick brunch.</t>
  </si>
  <si>
    <t>JR East Yamabiko 127 timetable</t>
  </si>
  <si>
    <t>https://timetables.jreast.co.jp/en/2608/train/000/002071.html</t>
  </si>
  <si>
    <t>Fukushima City official tourism</t>
  </si>
  <si>
    <t>https://www.f-kankou.jp/en/</t>
  </si>
  <si>
    <t>Aizu Festival official information</t>
  </si>
  <si>
    <t>https://www.aizukanko.com/kk/festival/aizu-matsuri</t>
  </si>
  <si>
    <t>Sendai Oktoberfest 2026 official</t>
  </si>
  <si>
    <t>https://sendai-oktoberfest.jp/1950/</t>
  </si>
  <si>
    <t>Tazawako Sunset Ambient official</t>
  </si>
  <si>
    <t>https://tazawako-kakunodate.com/en/events/18870/</t>
  </si>
  <si>
    <t>CONFIRMED EVENTS DURING SEP 19–23</t>
  </si>
  <si>
    <t>Place</t>
  </si>
  <si>
    <t>Event</t>
  </si>
  <si>
    <t>How it affects this trip</t>
  </si>
  <si>
    <t>Sendai Oktoberfest 2026; 11:00–21:00 on weekends/holidays.</t>
  </si>
  <si>
    <t>Already noted in `Itinerary` for 17:00–19:00; no schedule change required.</t>
  </si>
  <si>
    <t>Sep 19–21</t>
  </si>
  <si>
    <t>Aizu-Wakamatsu</t>
  </si>
  <si>
    <t>Aizu Festival: samurai processions, lantern parade and traditional dance.</t>
  </si>
  <si>
    <t>Lake Tazawa area</t>
  </si>
  <si>
    <t>Tazawako Sunset Ambient; weekends and holidays through September.</t>
  </si>
  <si>
    <t>Near Kakunodate, but it is an outdoor sunset detour and would require removing Akita evening time.</t>
  </si>
  <si>
    <t>Outside trip dates</t>
  </si>
  <si>
    <t>Route cities</t>
  </si>
  <si>
    <t>Jozenji Jazz Sep 12–13; Kakunodate Festival Sep 7–9; Motsuji Bush Clover Festival starts Sep 25.</t>
  </si>
  <si>
    <t>Not included because these events do not overlap Sep 19–23.</t>
  </si>
  <si>
    <t>Hayabusa 5 direct; use the station transfer time to leave luggage.</t>
  </si>
  <si>
    <t>JR Senseki Line direct to the sightseeing side of Matsushima.</t>
  </si>
  <si>
    <t>Godaido, Zuiganji and the bayfront. Skip the cruise if queues are long.</t>
  </si>
  <si>
    <t>JR Senseki Line direct.</t>
  </si>
  <si>
    <t>Compact city block: Zuihoden or Sendai Castle/Aoba-yama—choose one based on weather and traffic.</t>
  </si>
  <si>
    <t>Festival</t>
  </si>
  <si>
    <t>Sendai Oktoberfest</t>
  </si>
  <si>
    <t>German and Tohoku food, beer and live music at Kotodai Park; leave by 19:00 for the early start.</t>
  </si>
  <si>
    <t>Confirmed Sep 11–27; overnight Sendai</t>
  </si>
  <si>
    <t>Check out and eat a station breakfast; carry luggage because the night is in Morioka.</t>
  </si>
  <si>
    <t>Be on platform by 05:55</t>
  </si>
  <si>
    <t>Sendai → Koriyama</t>
  </si>
  <si>
    <t>Yamabiko 202; 7-minute transfer to the Ban'etsu West Line.</t>
  </si>
  <si>
    <t>Reserve; do not miss this train</t>
  </si>
  <si>
    <t>Koriyama → Aizu-Wakamatsu</t>
  </si>
  <si>
    <t>JR Ban'etsu West Line; scenic inland crossing.</t>
  </si>
  <si>
    <t>Aizu-Wakamatsu Station → Tsuruga Castle</t>
  </si>
  <si>
    <t>Use the festival shuttle/local bus or taxi; road restrictions may slow traffic.</t>
  </si>
  <si>
    <t>Local transport not included</t>
  </si>
  <si>
    <t>Tsuruga Castle</t>
  </si>
  <si>
    <t>Secure a viewing position inside/near the Honmaru before the ceremony crowd peaks.</t>
  </si>
  <si>
    <t>Festival crowd buffer</t>
  </si>
  <si>
    <t>Aizu Hanko Procession — departure ceremony</t>
  </si>
  <si>
    <t>The 2026 'Successive Lords' formation assembles at Tsuruga Castle; prime photography window.</t>
  </si>
  <si>
    <t>Priority event</t>
  </si>
  <si>
    <t>Aizu Hanko Procession</t>
  </si>
  <si>
    <t>Follow the samurai procession and street performances; eat from festival stalls while viewing.</t>
  </si>
  <si>
    <t>Procession ends roughly 13:00–14:00</t>
  </si>
  <si>
    <t>Aizu-Wakamatsu → Koriyama</t>
  </si>
  <si>
    <t>JR Ban'etsu West Line; 37-minute connection at Koriyama.</t>
  </si>
  <si>
    <t>Koriyama → Morioka</t>
  </si>
  <si>
    <t>Yamabiko 67 direct, avoiding another Sendai transfer.</t>
  </si>
  <si>
    <t>Reserve; overnight Morioka</t>
  </si>
  <si>
    <t>Station-area dinner and a short riverside/central walk; try one of Morioka's three noodles.</t>
  </si>
  <si>
    <t>Morioka → Hiraizumi</t>
  </si>
  <si>
    <t>JR Tohoku Main Line south; this backtrack preserves Hiraizumi.</t>
  </si>
  <si>
    <t>Hiraizumi Station → Chusonji</t>
  </si>
  <si>
    <t>Walk briskly or use the first practical local bus/taxi.</t>
  </si>
  <si>
    <t>Local bus/taxi may be extra</t>
  </si>
  <si>
    <t>Prioritize Chusonji and Konjikido. Motsuji no longer fits this compressed morning.</t>
  </si>
  <si>
    <t>Chusonji opens 08:30</t>
  </si>
  <si>
    <t>JR Tohoku Main Line direct; 37-minute Komachi connection.</t>
  </si>
  <si>
    <t>Komachi 19 planning slot; all seats reserved.</t>
  </si>
  <si>
    <t>Samurai district and one residence interior; finish with the Hinokinai River walk if time permits.</t>
  </si>
  <si>
    <t>Prioritize interiors before closing</t>
  </si>
  <si>
    <t>Komachi 27.</t>
  </si>
  <si>
    <t>Akita specialties around the station and a short Senshu Park exterior walk.</t>
  </si>
  <si>
    <t>Story in brief: This 5-day loop now anchors September 20 around the Aizu Hanko Procession, while retaining Matsushima, Hiraizumi, Morioka, Kakunodate, Akita, Hirosaki, Aomori and Hachinohe. Matsushima moves to Day 1, Aizu is reached by backtracking south from Sendai, and Hiraizumi moves to early Day 3. It reaches 10 distinct areas in 5 prefectures, but Days 2–3 are extremely connection-sensitive. Reserve every Shinkansen seat, travel with light luggage and recheck festival transport controls and JR operation immediately before departure.</t>
  </si>
  <si>
    <t>Festival-day rail chain</t>
    <phoneticPr fontId="7"/>
  </si>
  <si>
    <t>Sendai 06:07 → Koriyama → Aizu-Wakamatsu; Aizu 15:06 → Koriyama → Morioka 18:54</t>
    <phoneticPr fontId="7"/>
  </si>
  <si>
    <t>Reserve both Yamabiko trains; the 7-minute Koriyama transfer in the morning is critical.</t>
    <phoneticPr fontId="7"/>
  </si>
  <si>
    <t>Hotels</t>
    <phoneticPr fontId="7"/>
  </si>
  <si>
    <t>Sendai Sep 19; Morioka Sep 20; Akita Sep 21; Aomori Sep 22</t>
    <phoneticPr fontId="7"/>
  </si>
  <si>
    <t>All remain unchanged; choose station-adjacent properties and skip late breakfasts.</t>
    <phoneticPr fontId="7"/>
  </si>
  <si>
    <t>SELECTED PLAN — AIZU HANKO PROCESSION ON SEP 20</t>
  </si>
  <si>
    <t>Decision</t>
    <phoneticPr fontId="7"/>
  </si>
  <si>
    <t>Morning rail chain</t>
    <phoneticPr fontId="7"/>
  </si>
  <si>
    <t>Festival plan</t>
    <phoneticPr fontId="7"/>
  </si>
  <si>
    <t>Northbound continuation</t>
    <phoneticPr fontId="7"/>
  </si>
  <si>
    <t>Selected and applied</t>
    <phoneticPr fontId="7"/>
  </si>
  <si>
    <t>Sendai 06:07 → Koriyama 06:46; Koriyama 06:53 → Aizu-Wakamatsu 08:08.</t>
    <phoneticPr fontId="7"/>
  </si>
  <si>
    <t>Route effect</t>
    <phoneticPr fontId="7"/>
  </si>
  <si>
    <t>Matsushima moved to Sep 19.</t>
    <phoneticPr fontId="7"/>
  </si>
  <si>
    <t>Hiraizumi moved to Sep 21 morning; Motsuji removed.</t>
    <phoneticPr fontId="7"/>
  </si>
  <si>
    <t>Morioka sightseeing becomes dinner/evening on Sep 20; all 10 areas retained.</t>
    <phoneticPr fontId="7"/>
  </si>
  <si>
    <t>Selected and built into `Itinerary`; Sep 20 ceremony and procession are the priority events.</t>
  </si>
  <si>
    <t>Travel</t>
    <phoneticPr fontId="7"/>
  </si>
  <si>
    <t>Procession route → Aizu-Wakamatsu Station</t>
    <phoneticPr fontId="7"/>
  </si>
  <si>
    <t>Leave the procession area at 14:00. Use a taxi if roads permit; otherwise follow festival staff guidance to the fastest available bus/walking route.</t>
    <phoneticPr fontId="7"/>
  </si>
  <si>
    <t>Connection-protection block</t>
    <phoneticPr fontId="7"/>
  </si>
  <si>
    <t>Break</t>
    <phoneticPr fontId="7"/>
  </si>
  <si>
    <t>Aizu-Wakamatsu Station</t>
    <phoneticPr fontId="7"/>
  </si>
  <si>
    <t>Platform and contingency buffer. Buy food before boarding only if the train is confirmed and the platform is reached early.</t>
    <phoneticPr fontId="7"/>
  </si>
  <si>
    <t>Be ready to board by 15:00</t>
    <phoneticPr fontId="7"/>
  </si>
  <si>
    <t>Tsuruga Castle by 08:45; ceremony 09:30; procession 10:30–14:00, then leave immediately for the station.</t>
  </si>
  <si>
    <t>Festival area transfer 14:00–14:40; station buffer 14:40–15:00; Aizu 15:06 → Morioka 18:54.</t>
  </si>
  <si>
    <t>TRANSPORT</t>
  </si>
  <si>
    <t>Est. extra transport</t>
  </si>
  <si>
    <t>ESTIMATED EXTRA LOCAL TRANSPORT</t>
  </si>
  <si>
    <t>Assumption: JR rail is covered by the ¥35,000 JR EAST PASS. Extra estimates: Loople Sendai day pass ¥630; Aizu local bus ¥250 each way; Hiraizumi Runrun bus ¥200 each way; Hachinohe–Hasshoku bus ¥100 each way. Taxis and disruption-related changes are extra.</t>
  </si>
  <si>
    <t>Rail backup / action</t>
  </si>
  <si>
    <t>ALL-RESERVED — Hayabusa. Ask for any earlier/later Hayabusa or Komachi seat ticket. If none, take an earlier Yamabiko with an unreserved car and shorten Matsushima.</t>
  </si>
  <si>
    <t>No change; no train reservation.</t>
  </si>
  <si>
    <t>LOCAL — Senseki Line; board as planned without a reservation.</t>
  </si>
  <si>
    <t>UNRESERVED OPTION — Yamabiko. Queue for the designated unreserved car and confirm the formation. Missing this train breaks the 06:53 Aizu connection.</t>
  </si>
  <si>
    <t>LOCAL — Ban’etsu West Line; no reservation needed.</t>
  </si>
  <si>
    <t>LOCAL BUS/TAXI — no rail reservation.</t>
  </si>
  <si>
    <t>LOCAL BUS/TAXI — leave at 14:00 to protect the train.</t>
  </si>
  <si>
    <t>No change; preserve the station buffer.</t>
  </si>
  <si>
    <t>UNRESERVED OPTION — Yamabiko. Use the train’s designated unreserved car; if it is full, take the next Yamabiko and drop the Morioka evening walk.</t>
  </si>
  <si>
    <t>No change; shorten or drop this visit if the northbound train is late.</t>
  </si>
  <si>
    <t>LOCAL — Tohoku Main Line; no reservation needed.</t>
  </si>
  <si>
    <t>ALL-RESERVED — Komachi. Obtain a seat ticket for this or the next Komachi. If none is available, skip Kakunodate and ask staff for the best local-rail routing to Akita.</t>
  </si>
  <si>
    <t>Keep only if a Komachi seat is secured; otherwise continue to Akita.</t>
  </si>
  <si>
    <t>ALL-RESERVED — Komachi. Obtain a seat ticket. If sold out, use local trains via Omagari after staff confirms the connection; drop the Akita evening walk.</t>
  </si>
  <si>
    <t>No change if on time; otherwise dinner near Akita Station only.</t>
  </si>
  <si>
    <t>UNRESERVED OPTION — Tsugaru has ordinary cars with some unreserved seating. Queue early; if full, use the next Tsugaru or Ou Main Line locals and shorten Hirosaki.</t>
  </si>
  <si>
    <t>Shorten the park visit if the fallback train arrives late.</t>
  </si>
  <si>
    <t>LOCAL — Ou Main Line; no reservation needed.</t>
  </si>
  <si>
    <t>ALL-RESERVED — Hayabusa. Ask for another departure’s seat ticket. If none is available, stay in Aomori and drop Hachinohe.</t>
  </si>
  <si>
    <t>Only visit Hachinohe if both the outbound and Tokyo-return seat tickets are secured.</t>
  </si>
  <si>
    <t>ALL-RESERVED — Hayabusa. Ask for any earlier/later seat immediately. Last-resort: leave Hachinohe early on Aoimori/IGR local trains to Morioka, then use a Yamabiko unreserved car to Tokyo.</t>
  </si>
  <si>
    <t>DESTINATIONS</t>
  </si>
  <si>
    <t>2 cities</t>
  </si>
  <si>
    <t>Sat, Sep 19</t>
  </si>
  <si>
    <t>Leave luggage and have a quick brunch near the station.</t>
  </si>
  <si>
    <t>Overnight Sendai</t>
  </si>
  <si>
    <t>Sun, Sep 20</t>
  </si>
  <si>
    <t>Yamabiko 202; the 7-minute connection is critical.</t>
  </si>
  <si>
    <t>Reserve; do not miss</t>
  </si>
  <si>
    <t>JR Ban’etsu West Line.</t>
  </si>
  <si>
    <t>Festival shuttle/local bus or taxi; road restrictions may slow traffic.</t>
  </si>
  <si>
    <t>Secure a viewing position before the ceremony crowd peaks.</t>
  </si>
  <si>
    <t>Aizu Hanko Procession — ceremony</t>
  </si>
  <si>
    <t>Departure ceremony and prime photography window at Tsuruga Castle.</t>
  </si>
  <si>
    <t>Follow the samurai procession and street performances; eat from festival stalls.</t>
  </si>
  <si>
    <t>Leave at 14:00</t>
  </si>
  <si>
    <t>Festival route → Aizu-Wakamatsu Station</t>
  </si>
  <si>
    <t>Use the fastest festival-directed bus, taxi or walking route.</t>
  </si>
  <si>
    <t>Connection-protection block</t>
  </si>
  <si>
    <t>Aizu-Wakamatsu Station</t>
  </si>
  <si>
    <t>Platform and contingency buffer.</t>
  </si>
  <si>
    <t>Be ready to board by 15:00</t>
  </si>
  <si>
    <t>Koriyama → Sendai</t>
  </si>
  <si>
    <t>Reserve or use designated unreserved car</t>
  </si>
  <si>
    <t>Mon, Sep 21</t>
  </si>
  <si>
    <t>Carry-on luggage recommended</t>
  </si>
  <si>
    <t>Sendai → Shin-Aomori</t>
  </si>
  <si>
    <t>Shin-Aomori → Aomori</t>
  </si>
  <si>
    <t>Aomori City</t>
  </si>
  <si>
    <t>Tue, Sep 22</t>
  </si>
  <si>
    <t>Aomori → Hirosaki</t>
  </si>
  <si>
    <t>JR Ou Main Line planning window; verify the exact holiday departure.</t>
  </si>
  <si>
    <t>Hirosaki, Aomori Prefecture</t>
  </si>
  <si>
    <t>Hirosaki Park, moats, gates and keep exterior; preserved merchant and samurai streets.</t>
  </si>
  <si>
    <t>Unhurried seafood dinner and waterfront evening.</t>
  </si>
  <si>
    <t>Wed, Sep 23</t>
  </si>
  <si>
    <t>Breakfast, hotel checkout and luggage storage.</t>
  </si>
  <si>
    <t>Holiday return day</t>
  </si>
  <si>
    <t>Keep activities near station</t>
  </si>
  <si>
    <t>Leave margin for Shin-Aomori transfer</t>
  </si>
  <si>
    <t>JR Ou Main Line planning window; verify exact departure and platform.</t>
  </si>
  <si>
    <t>Shin-Aomori → Tokyo</t>
  </si>
  <si>
    <t>Hayabusa 34 direct; peak holiday return.</t>
  </si>
  <si>
    <t>OPERATING NOTES</t>
  </si>
  <si>
    <t>Reservations</t>
  </si>
  <si>
    <t>Planning slots</t>
  </si>
  <si>
    <t>TOHOKU SILVER WEEK TRIP BOOK</t>
  </si>
  <si>
    <t>Five-day JR East plans | September 19–23, 2026</t>
  </si>
  <si>
    <t>Choose the full loop or the simplified four-region route</t>
  </si>
  <si>
    <t>CONTENTS</t>
  </si>
  <si>
    <t>PURPOSE</t>
  </si>
  <si>
    <t>Itinerary</t>
  </si>
  <si>
    <t>Original fast-paced five-prefecture loop with transport costs and rail backup actions.</t>
  </si>
  <si>
    <t>Core Route</t>
  </si>
  <si>
    <t>Booking Notes</t>
  </si>
  <si>
    <t>Reservation priorities, operating risks, source links and confirmed events.</t>
  </si>
  <si>
    <t>QUICK CHOICE</t>
  </si>
  <si>
    <t>Original loop</t>
  </si>
  <si>
    <t>Use Itinerary to retain all ten original areas.</t>
  </si>
  <si>
    <t>Reduced route</t>
  </si>
  <si>
    <t>Use Core Route for fewer transfers and two hotel bases.</t>
  </si>
  <si>
    <t>Festival priority</t>
  </si>
  <si>
    <t>Both plans protect the Sep 20 Aizu procession.</t>
  </si>
  <si>
    <t>Final check</t>
  </si>
  <si>
    <t>Re-run all planning slots 48 hours before travel.</t>
  </si>
  <si>
    <t>TOHOKU SILVER WEEK — DAY-BY-DAY CORE ROUTE</t>
  </si>
  <si>
    <t>Tokyo → Sendai → Aizu-Wakamatsu → Matsushima → Aomori Prefecture → Tokyo | Sep 19–23, 2026</t>
  </si>
  <si>
    <t>Story in brief: Each date now has one clear geographic focus: September 19 is Sendai, September 20 is Aizu and the Hanko Procession, September 21 is a full Matsushima day followed by an evening transfer north, and September 22–23 are devoted to Aomori Prefecture. This removes split sightseeing days and preserves two hotel bases—Sendai and Aomori. The critical reservations are the Tokyo–Sendai arrival, Sendai–Shin-Aomori after Matsushima, and Shin-Aomori–Tokyo holiday return. Recheck all planning slots in the September 2026 JR East timetable 48 hours before travel.</t>
  </si>
  <si>
    <t>4 day blocks</t>
  </si>
  <si>
    <t>Hayabusa 5 direct. Leave luggage near Sendai Station.</t>
  </si>
  <si>
    <t>Sendai — Zuihoden</t>
  </si>
  <si>
    <t>Use Loople Sendai or a taxi; allow time for the wooded approach and stairs.</t>
  </si>
  <si>
    <t>Local transport day-pass estimate</t>
  </si>
  <si>
    <t>Lunch in the central station or Ichibancho area.</t>
  </si>
  <si>
    <t>Keep the afternoon flexible</t>
  </si>
  <si>
    <t>Sendai — Aoba-yama / city center</t>
  </si>
  <si>
    <t>Sendai Castle viewpoint, museum area or central arcades depending on weather.</t>
  </si>
  <si>
    <t>Choose one compact route</t>
  </si>
  <si>
    <t>Food, beer and live music at Kotodai Park.</t>
  </si>
  <si>
    <t>Confirmed event; overnight Sendai</t>
  </si>
  <si>
    <t>Sendai evening</t>
  </si>
  <si>
    <t>Short Jozenji-dori walk and return to the hotel for an early night.</t>
  </si>
  <si>
    <t>Early start tomorrow</t>
  </si>
  <si>
    <t>Station breakfast; be on the platform by 05:55.</t>
  </si>
  <si>
    <t>Second night remains in Sendai</t>
  </si>
  <si>
    <t>Yamabiko 67 planning slot; verify the final Sendai arrival.</t>
  </si>
  <si>
    <t>Dinner near the station and a quiet evening after the festival day.</t>
  </si>
  <si>
    <t>Breakfast, hotel checkout and luggage storage at Sendai Station.</t>
  </si>
  <si>
    <t>JR Senseki Line planning slot.</t>
  </si>
  <si>
    <t>Godaido, Zuiganji and the bayfront before midday crowds peak.</t>
  </si>
  <si>
    <t>Temple admissions extra</t>
  </si>
  <si>
    <t>Seafood lunch near the bay.</t>
  </si>
  <si>
    <t>Keep queues under control</t>
  </si>
  <si>
    <t>Bay cruise or Entsuin, then a final waterfront walk. Skip the cruise if delayed.</t>
  </si>
  <si>
    <t>Full Matsushima day</t>
  </si>
  <si>
    <t>JR Senseki Line planning slot; verify the holiday departure.</t>
  </si>
  <si>
    <t>Sendai Station</t>
  </si>
  <si>
    <t>Collect luggage, buy dinner and reach the Shinkansen platform early.</t>
  </si>
  <si>
    <t>Protect the northbound reservation</t>
  </si>
  <si>
    <t>Hayabusa 35 direct; all seats reserved.</t>
  </si>
  <si>
    <t>JR Ou Main Line planning connection; includes transfer buffer.</t>
  </si>
  <si>
    <t>Breakfast and walk to Aomori Station.</t>
  </si>
  <si>
    <t>Leave luggage at hotel</t>
  </si>
  <si>
    <t>JR Ou Main Line planning window; keep a later train as backup.</t>
  </si>
  <si>
    <t>Nebuta Museum WA RASSE and the waterfront near Aomori Station.</t>
  </si>
  <si>
    <t>Furukawa Market lunch, A-FACTORY shopping and collect luggage.</t>
  </si>
  <si>
    <t>Day allocation</t>
  </si>
  <si>
    <t>Prioritize Hayabusa 5, Hayabusa 35 and Hayabusa 34. Hayabusa is all-reserved; obtain a seat ticket before boarding.</t>
  </si>
  <si>
    <t>Recheck both Senseki Line journeys, Yamabiko 67, Aomori–Hirosaki local trains and the Aomori–Shin-Aomori transfer in the official September timetable.</t>
  </si>
  <si>
    <t>Sep 19 Sendai | Sep 20 Aizu | Sep 21 Matsushima | Sep 22 Hirosaki/Aomori Prefecture | Sep 23 Aomori City and return.</t>
  </si>
  <si>
    <t>One dedicated Sendai day, one Aizu day, one Matsushima day and two Aomori Prefecture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</si>
</sst>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h]&quot;h &quot;mm&quot;m&quot;"/>
    <numFmt numFmtId="177" formatCode="0&quot; places&quot;"/>
    <numFmt numFmtId="178" formatCode="0&quot; cities&quot;"/>
    <numFmt numFmtId="179" formatCode="ddd\,\ mmm\ d"/>
    <numFmt numFmtId="180" formatCode="hh:mm"/>
    <numFmt numFmtId="181" formatCode="\¥#,##0"/>
    <numFmt numFmtId="182" formatCode="0&quot; consecutive days&quot;"/>
  </numFmts>
  <fonts count="23" x14ac:knownFonts="1">
    <font>
      <sz val="11"/>
      <color theme="1"/>
      <name val="游ゴシック"/>
      <family val="2"/>
      <scheme val="minor"/>
    </font>
    <font>
      <b/>
      <sz val="11"/>
      <color rgb="FFFFFFFF"/>
      <name val="游ゴシック"/>
      <family val="2"/>
      <scheme val="minor"/>
    </font>
    <font>
      <b/>
      <sz val="18"/>
      <color rgb="FFFFFFFF"/>
      <name val="游ゴシック"/>
      <family val="2"/>
      <scheme val="minor"/>
    </font>
    <font>
      <i/>
      <sz val="11"/>
      <color rgb="FF666666"/>
      <name val="游ゴシック"/>
      <family val="2"/>
      <scheme val="minor"/>
    </font>
    <font>
      <sz val="11"/>
      <color rgb="FF1F2937"/>
      <name val="游ゴシック"/>
      <family val="2"/>
      <scheme val="minor"/>
    </font>
    <font>
      <b/>
      <sz val="20"/>
      <color rgb="FF17365D"/>
      <name val="游ゴシック"/>
      <family val="2"/>
      <scheme val="minor"/>
    </font>
    <font>
      <b/>
      <sz val="11"/>
      <color rgb="FFFFFFFF"/>
      <name val="游ゴシック"/>
      <family val="3"/>
      <charset val="128"/>
      <scheme val="minor"/>
    </font>
    <font>
      <sz val="6"/>
      <name val="游ゴシック"/>
      <family val="3"/>
      <charset val="128"/>
      <scheme val="minor"/>
    </font>
    <font>
      <b/>
      <sz val="12"/>
      <color rgb="FFFFFFFF"/>
      <name val="游ゴシック"/>
      <family val="2"/>
      <scheme val="minor"/>
    </font>
    <font>
      <b/>
      <sz val="11"/>
      <color theme="1"/>
      <name val="游ゴシック"/>
      <family val="2"/>
      <scheme val="minor"/>
    </font>
    <font>
      <b/>
      <sz val="11"/>
      <color rgb="FF17365D"/>
      <name val="游ゴシック"/>
      <family val="2"/>
      <scheme val="minor"/>
    </font>
    <font>
      <b/>
      <sz val="11"/>
      <color rgb="FF9C0006"/>
      <name val="游ゴシック"/>
      <family val="2"/>
      <scheme val="minor"/>
    </font>
    <font>
      <b/>
      <sz val="11"/>
      <color rgb="FF7F6000"/>
      <name val="游ゴシック"/>
      <family val="2"/>
      <scheme val="minor"/>
    </font>
    <font>
      <sz val="11"/>
      <color rgb="FF375623"/>
      <name val="游ゴシック"/>
      <family val="2"/>
      <scheme val="minor"/>
    </font>
    <font>
      <sz val="11"/>
      <color rgb="FFFFFFFF"/>
      <name val="游ゴシック"/>
      <family val="2"/>
      <scheme val="minor"/>
    </font>
    <font>
      <b/>
      <sz val="20"/>
      <color rgb="FFFFFFFF"/>
      <name val="游ゴシック"/>
      <family val="2"/>
      <scheme val="minor"/>
    </font>
    <font>
      <sz val="11"/>
      <color rgb="FF333333"/>
      <name val="游ゴシック"/>
      <family val="2"/>
      <scheme val="minor"/>
    </font>
    <font>
      <b/>
      <sz val="16"/>
      <color rgb="FF17365D"/>
      <name val="游ゴシック"/>
      <family val="2"/>
      <scheme val="minor"/>
    </font>
    <font>
      <sz val="11"/>
      <color rgb="FF1F4E78"/>
      <name val="游ゴシック"/>
      <family val="2"/>
      <scheme val="minor"/>
    </font>
    <font>
      <sz val="11"/>
      <color rgb="FF595959"/>
      <name val="游ゴシック"/>
      <family val="2"/>
      <scheme val="minor"/>
    </font>
    <font>
      <sz val="11"/>
      <color rgb="FF7F6000"/>
      <name val="游ゴシック"/>
      <family val="2"/>
      <scheme val="minor"/>
    </font>
    <font>
      <b/>
      <sz val="11"/>
      <color rgb="FF2F5597"/>
      <name val="游ゴシック"/>
      <family val="2"/>
      <scheme val="minor"/>
    </font>
    <font>
      <b/>
      <sz val="12"/>
      <color rgb="FF375623"/>
      <name val="游ゴシック"/>
      <family val="2"/>
      <scheme val="minor"/>
    </font>
  </fonts>
  <fills count="18">
    <fill>
      <patternFill patternType="none"/>
    </fill>
    <fill>
      <patternFill patternType="gray125"/>
    </fill>
    <fill>
      <patternFill patternType="solid">
        <fgColor rgb="FF17365D"/>
        <bgColor indexed="64"/>
      </patternFill>
    </fill>
    <fill>
      <patternFill patternType="solid">
        <fgColor rgb="FFF3F7FA"/>
        <bgColor indexed="64"/>
      </patternFill>
    </fill>
    <fill>
      <patternFill patternType="solid">
        <fgColor rgb="FF2F75B5"/>
        <bgColor indexed="64"/>
      </patternFill>
    </fill>
    <fill>
      <patternFill patternType="solid">
        <fgColor rgb="FFD9EAF7"/>
        <bgColor indexed="64"/>
      </patternFill>
    </fill>
    <fill>
      <patternFill patternType="solid">
        <fgColor rgb="FFD9A441"/>
        <bgColor indexed="64"/>
      </patternFill>
    </fill>
    <fill>
      <patternFill patternType="solid">
        <fgColor rgb="FFF8FAFC"/>
        <bgColor indexed="64"/>
      </patternFill>
    </fill>
    <fill>
      <patternFill patternType="solid">
        <fgColor rgb="FFE2F0D9"/>
        <bgColor indexed="64"/>
      </patternFill>
    </fill>
    <fill>
      <patternFill patternType="solid">
        <fgColor rgb="FFFFFFFF"/>
        <bgColor indexed="64"/>
      </patternFill>
    </fill>
    <fill>
      <patternFill patternType="solid">
        <fgColor rgb="FFFFF2CC"/>
        <bgColor indexed="64"/>
      </patternFill>
    </fill>
    <fill>
      <patternFill patternType="solid">
        <fgColor rgb="FFFCE4D6"/>
        <bgColor indexed="64"/>
      </patternFill>
    </fill>
    <fill>
      <patternFill patternType="solid">
        <fgColor rgb="FFDDEBF7"/>
        <bgColor indexed="64"/>
      </patternFill>
    </fill>
    <fill>
      <patternFill patternType="solid">
        <fgColor rgb="FFEAF2F8"/>
        <bgColor indexed="64"/>
      </patternFill>
    </fill>
    <fill>
      <patternFill patternType="solid">
        <fgColor rgb="FF4472C4"/>
        <bgColor indexed="64"/>
      </patternFill>
    </fill>
    <fill>
      <patternFill patternType="solid">
        <fgColor rgb="FF5B9BD5"/>
        <bgColor indexed="64"/>
      </patternFill>
    </fill>
    <fill>
      <patternFill patternType="solid">
        <fgColor rgb="FFF7F9FB"/>
        <bgColor indexed="64"/>
      </patternFill>
    </fill>
    <fill>
      <patternFill patternType="solid">
        <fgColor rgb="FFE7E6E6"/>
        <bgColor indexed="64"/>
      </patternFill>
    </fill>
  </fills>
  <borders count="12">
    <border>
      <left/>
      <right/>
      <top/>
      <bottom/>
      <diagonal/>
    </border>
    <border>
      <left/>
      <right/>
      <top/>
      <bottom style="thin">
        <color rgb="FFD1D5DB"/>
      </bottom>
      <diagonal/>
    </border>
    <border>
      <left/>
      <right/>
      <top style="thin">
        <color rgb="FF5B9BD5"/>
      </top>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s>
  <cellStyleXfs count="1">
    <xf numFmtId="0" fontId="0" fillId="0" borderId="0"/>
  </cellStyleXfs>
  <cellXfs count="107">
    <xf numFmtId="0" fontId="0" fillId="0" borderId="0" xfId="0"/>
    <xf numFmtId="0" fontId="1" fillId="4" borderId="0" xfId="0" applyFont="1" applyFill="1" applyAlignment="1">
      <alignment horizontal="center"/>
    </xf>
    <xf numFmtId="0" fontId="1" fillId="2" borderId="0" xfId="0" applyFont="1" applyFill="1"/>
    <xf numFmtId="0" fontId="1" fillId="2" borderId="0" xfId="0" applyFont="1" applyFill="1" applyAlignment="1">
      <alignment horizontal="center"/>
    </xf>
    <xf numFmtId="0" fontId="0" fillId="0" borderId="0" xfId="0" applyAlignment="1">
      <alignment vertical="top" wrapText="1"/>
    </xf>
    <xf numFmtId="179" fontId="0" fillId="7" borderId="0" xfId="0" applyNumberFormat="1" applyFill="1" applyAlignment="1">
      <alignment horizontal="center" vertical="top"/>
    </xf>
    <xf numFmtId="180" fontId="0" fillId="7" borderId="0" xfId="0" applyNumberFormat="1" applyFill="1" applyAlignment="1">
      <alignment horizontal="center" vertical="top"/>
    </xf>
    <xf numFmtId="176" fontId="0" fillId="7" borderId="0" xfId="0" applyNumberFormat="1" applyFill="1" applyAlignment="1">
      <alignment horizontal="center" vertical="top"/>
    </xf>
    <xf numFmtId="0" fontId="0" fillId="7" borderId="0" xfId="0" applyFill="1" applyAlignment="1">
      <alignment vertical="top"/>
    </xf>
    <xf numFmtId="0" fontId="0" fillId="7" borderId="0" xfId="0" applyFill="1" applyAlignment="1">
      <alignment vertical="top" wrapText="1"/>
    </xf>
    <xf numFmtId="1" fontId="0" fillId="0" borderId="0" xfId="0" applyNumberFormat="1" applyAlignment="1">
      <alignment vertical="top"/>
    </xf>
    <xf numFmtId="0" fontId="9" fillId="0" borderId="0" xfId="0" applyFont="1"/>
    <xf numFmtId="0" fontId="0" fillId="0" borderId="0" xfId="0" applyAlignment="1">
      <alignment wrapText="1"/>
    </xf>
    <xf numFmtId="179" fontId="0" fillId="9" borderId="0" xfId="0" applyNumberFormat="1" applyFill="1" applyAlignment="1">
      <alignment horizontal="center" vertical="top"/>
    </xf>
    <xf numFmtId="180" fontId="0" fillId="9" borderId="0" xfId="0" applyNumberFormat="1" applyFill="1" applyAlignment="1">
      <alignment horizontal="center" vertical="top"/>
    </xf>
    <xf numFmtId="176" fontId="0" fillId="9" borderId="0" xfId="0" applyNumberFormat="1" applyFill="1" applyAlignment="1">
      <alignment horizontal="center" vertical="top"/>
    </xf>
    <xf numFmtId="0" fontId="0" fillId="9" borderId="0" xfId="0" applyFill="1" applyAlignment="1">
      <alignment vertical="top"/>
    </xf>
    <xf numFmtId="0" fontId="0" fillId="9" borderId="0" xfId="0" applyFill="1" applyAlignment="1">
      <alignment vertical="top" wrapText="1"/>
    </xf>
    <xf numFmtId="179" fontId="0" fillId="7" borderId="1" xfId="0" applyNumberFormat="1" applyFill="1" applyBorder="1" applyAlignment="1">
      <alignment horizontal="center" vertical="top"/>
    </xf>
    <xf numFmtId="180" fontId="0" fillId="7" borderId="1" xfId="0" applyNumberFormat="1" applyFill="1" applyBorder="1" applyAlignment="1">
      <alignment horizontal="center" vertical="top"/>
    </xf>
    <xf numFmtId="176" fontId="0" fillId="7" borderId="1" xfId="0" applyNumberFormat="1" applyFill="1" applyBorder="1" applyAlignment="1">
      <alignment horizontal="center" vertical="top"/>
    </xf>
    <xf numFmtId="0" fontId="0" fillId="7" borderId="1" xfId="0" applyFill="1" applyBorder="1" applyAlignment="1">
      <alignment vertical="top"/>
    </xf>
    <xf numFmtId="0" fontId="0" fillId="7" borderId="1" xfId="0" applyFill="1" applyBorder="1" applyAlignment="1">
      <alignment vertical="top" wrapText="1"/>
    </xf>
    <xf numFmtId="0" fontId="9" fillId="8" borderId="0" xfId="0" applyFont="1" applyFill="1" applyAlignment="1">
      <alignment vertical="top" wrapText="1"/>
    </xf>
    <xf numFmtId="0" fontId="0" fillId="8" borderId="0" xfId="0" applyFill="1" applyAlignment="1">
      <alignment vertical="top" wrapText="1"/>
    </xf>
    <xf numFmtId="0" fontId="9" fillId="10" borderId="0" xfId="0" applyFont="1" applyFill="1" applyAlignment="1">
      <alignment vertical="top" wrapText="1"/>
    </xf>
    <xf numFmtId="0" fontId="0" fillId="10" borderId="0" xfId="0" applyFill="1" applyAlignment="1">
      <alignment vertical="top" wrapText="1"/>
    </xf>
    <xf numFmtId="16" fontId="0" fillId="0" borderId="0" xfId="0" applyNumberFormat="1" applyAlignment="1">
      <alignment vertical="top" wrapText="1"/>
    </xf>
    <xf numFmtId="181" fontId="5" fillId="5" borderId="0" xfId="0" applyNumberFormat="1" applyFont="1" applyFill="1" applyAlignment="1">
      <alignment horizontal="center"/>
    </xf>
    <xf numFmtId="181" fontId="0" fillId="0" borderId="0" xfId="0" applyNumberFormat="1" applyAlignment="1">
      <alignment horizontal="right"/>
    </xf>
    <xf numFmtId="181" fontId="10" fillId="5" borderId="2" xfId="0" applyNumberFormat="1" applyFont="1" applyFill="1" applyBorder="1"/>
    <xf numFmtId="0" fontId="1" fillId="2" borderId="0" xfId="0" applyFont="1" applyFill="1" applyAlignment="1">
      <alignment horizontal="center" wrapText="1"/>
    </xf>
    <xf numFmtId="0" fontId="0" fillId="0" borderId="0" xfId="0" applyAlignment="1">
      <alignment horizontal="left" wrapText="1"/>
    </xf>
    <xf numFmtId="0" fontId="11" fillId="11" borderId="0" xfId="0" applyFont="1" applyFill="1" applyAlignment="1">
      <alignment horizontal="left" wrapText="1"/>
    </xf>
    <xf numFmtId="0" fontId="12" fillId="10" borderId="0" xfId="0" applyFont="1" applyFill="1" applyAlignment="1">
      <alignment horizontal="left" wrapText="1"/>
    </xf>
    <xf numFmtId="0" fontId="0" fillId="8" borderId="0" xfId="0" applyFill="1" applyAlignment="1">
      <alignment horizontal="left" wrapText="1"/>
    </xf>
    <xf numFmtId="181" fontId="0" fillId="0" borderId="0" xfId="0" applyNumberFormat="1" applyAlignment="1">
      <alignment wrapText="1"/>
    </xf>
    <xf numFmtId="182" fontId="0" fillId="0" borderId="0" xfId="0" applyNumberFormat="1" applyAlignment="1">
      <alignment wrapText="1"/>
    </xf>
    <xf numFmtId="1" fontId="0" fillId="0" borderId="0" xfId="0" applyNumberFormat="1" applyAlignment="1">
      <alignment wrapText="1"/>
    </xf>
    <xf numFmtId="0" fontId="1" fillId="2" borderId="0" xfId="0" applyFont="1" applyFill="1" applyAlignment="1">
      <alignment wrapText="1"/>
    </xf>
    <xf numFmtId="0" fontId="10" fillId="5" borderId="2" xfId="0" applyFont="1" applyFill="1" applyBorder="1"/>
    <xf numFmtId="0" fontId="10" fillId="5" borderId="2" xfId="0" applyFont="1" applyFill="1" applyBorder="1" applyAlignment="1">
      <alignment wrapText="1"/>
    </xf>
    <xf numFmtId="0" fontId="3" fillId="0" borderId="0" xfId="0" applyFont="1" applyAlignment="1">
      <alignment wrapText="1"/>
    </xf>
    <xf numFmtId="178" fontId="5" fillId="5" borderId="0" xfId="0" applyNumberFormat="1" applyFont="1" applyFill="1" applyAlignment="1">
      <alignment horizontal="center" wrapText="1"/>
    </xf>
    <xf numFmtId="0" fontId="5" fillId="5" borderId="0" xfId="0" applyFont="1" applyFill="1" applyAlignment="1">
      <alignment horizontal="center" wrapText="1"/>
    </xf>
    <xf numFmtId="0" fontId="1" fillId="4" borderId="0" xfId="0" applyFont="1" applyFill="1" applyAlignment="1">
      <alignment horizontal="center"/>
    </xf>
    <xf numFmtId="177" fontId="5" fillId="5" borderId="0" xfId="0" applyNumberFormat="1" applyFont="1" applyFill="1" applyAlignment="1">
      <alignment horizontal="center"/>
    </xf>
    <xf numFmtId="0" fontId="5" fillId="5" borderId="0" xfId="0" applyFont="1" applyFill="1" applyAlignment="1">
      <alignment horizontal="center"/>
    </xf>
    <xf numFmtId="176" fontId="5" fillId="5" borderId="0" xfId="0" applyNumberFormat="1" applyFont="1" applyFill="1" applyAlignment="1">
      <alignment horizontal="center"/>
    </xf>
    <xf numFmtId="0" fontId="1" fillId="4" borderId="0" xfId="0" applyFont="1" applyFill="1" applyAlignment="1">
      <alignment horizontal="center" wrapText="1"/>
    </xf>
    <xf numFmtId="0" fontId="6" fillId="4" borderId="0" xfId="0" applyFont="1" applyFill="1" applyAlignment="1">
      <alignment horizontal="center" wrapText="1"/>
    </xf>
    <xf numFmtId="0" fontId="2" fillId="2" borderId="0" xfId="0" applyFont="1" applyFill="1" applyAlignment="1">
      <alignment horizontal="center"/>
    </xf>
    <xf numFmtId="0" fontId="3" fillId="0" borderId="0" xfId="0" applyFont="1" applyAlignment="1">
      <alignment horizontal="center"/>
    </xf>
    <xf numFmtId="0" fontId="4" fillId="3" borderId="0" xfId="0" applyFont="1" applyFill="1" applyAlignment="1">
      <alignment vertical="center" wrapText="1"/>
    </xf>
    <xf numFmtId="0" fontId="8" fillId="6" borderId="0" xfId="0" applyFont="1" applyFill="1"/>
    <xf numFmtId="0" fontId="8" fillId="6" borderId="0" xfId="0" applyFont="1" applyFill="1" applyAlignment="1">
      <alignment wrapText="1"/>
    </xf>
    <xf numFmtId="0" fontId="1" fillId="6" borderId="0" xfId="0" applyFont="1" applyFill="1"/>
    <xf numFmtId="0" fontId="1" fillId="6" borderId="0" xfId="0" applyFont="1" applyFill="1" applyAlignment="1">
      <alignment wrapText="1"/>
    </xf>
    <xf numFmtId="0" fontId="0" fillId="3" borderId="0" xfId="0" applyFill="1" applyAlignment="1">
      <alignment vertical="center" wrapText="1"/>
    </xf>
    <xf numFmtId="0" fontId="15" fillId="2" borderId="0" xfId="0" applyFont="1" applyFill="1"/>
    <xf numFmtId="0" fontId="3" fillId="0" borderId="0" xfId="0" applyFont="1"/>
    <xf numFmtId="0" fontId="16" fillId="13" borderId="0" xfId="0" applyFont="1" applyFill="1" applyAlignment="1">
      <alignment vertical="center" wrapText="1"/>
    </xf>
    <xf numFmtId="0" fontId="1" fillId="14" borderId="0" xfId="0" applyFont="1" applyFill="1"/>
    <xf numFmtId="0" fontId="1" fillId="14" borderId="0" xfId="0" applyFont="1" applyFill="1" applyAlignment="1">
      <alignment horizontal="center"/>
    </xf>
    <xf numFmtId="0" fontId="1" fillId="14" borderId="0" xfId="0" applyFont="1" applyFill="1" applyBorder="1" applyAlignment="1">
      <alignment horizontal="center"/>
    </xf>
    <xf numFmtId="0" fontId="1" fillId="14" borderId="0" xfId="0" applyFont="1" applyFill="1"/>
    <xf numFmtId="0" fontId="1" fillId="14" borderId="0" xfId="0" applyFont="1" applyFill="1" applyAlignment="1">
      <alignment horizontal="center"/>
    </xf>
    <xf numFmtId="0" fontId="17" fillId="5" borderId="0" xfId="0" applyFont="1" applyFill="1" applyAlignment="1">
      <alignment horizontal="center"/>
    </xf>
    <xf numFmtId="176" fontId="17" fillId="5" borderId="0" xfId="0" applyNumberFormat="1" applyFont="1" applyFill="1" applyAlignment="1">
      <alignment horizontal="center"/>
    </xf>
    <xf numFmtId="181" fontId="17" fillId="5" borderId="0" xfId="0" applyNumberFormat="1" applyFont="1" applyFill="1" applyAlignment="1">
      <alignment horizontal="center"/>
    </xf>
    <xf numFmtId="0" fontId="8" fillId="14" borderId="0" xfId="0" applyFont="1" applyFill="1"/>
    <xf numFmtId="0" fontId="1" fillId="15" borderId="3" xfId="0" applyFont="1" applyFill="1" applyBorder="1" applyAlignment="1">
      <alignment horizontal="center"/>
    </xf>
    <xf numFmtId="0" fontId="1" fillId="15" borderId="4" xfId="0" applyFont="1" applyFill="1" applyBorder="1" applyAlignment="1">
      <alignment horizontal="center"/>
    </xf>
    <xf numFmtId="0" fontId="1" fillId="15" borderId="5" xfId="0" applyFont="1" applyFill="1" applyBorder="1" applyAlignment="1">
      <alignment horizontal="center"/>
    </xf>
    <xf numFmtId="0" fontId="0" fillId="0" borderId="6" xfId="0" applyBorder="1"/>
    <xf numFmtId="0" fontId="0" fillId="0" borderId="7" xfId="0" applyBorder="1" applyAlignment="1">
      <alignment wrapText="1"/>
    </xf>
    <xf numFmtId="0" fontId="9" fillId="16" borderId="0" xfId="0" applyFont="1" applyFill="1"/>
    <xf numFmtId="0" fontId="0" fillId="16" borderId="0" xfId="0" applyFill="1" applyAlignment="1">
      <alignment wrapText="1"/>
    </xf>
    <xf numFmtId="180" fontId="0" fillId="0" borderId="7" xfId="0" applyNumberFormat="1" applyBorder="1" applyAlignment="1">
      <alignment horizontal="right"/>
    </xf>
    <xf numFmtId="176" fontId="0" fillId="0" borderId="7" xfId="0" applyNumberFormat="1" applyBorder="1" applyAlignment="1">
      <alignment horizontal="right"/>
    </xf>
    <xf numFmtId="181" fontId="0" fillId="0" borderId="8" xfId="0" applyNumberFormat="1" applyBorder="1" applyAlignment="1">
      <alignment horizontal="right"/>
    </xf>
    <xf numFmtId="0" fontId="18" fillId="12" borderId="7" xfId="0" applyFont="1" applyFill="1" applyBorder="1"/>
    <xf numFmtId="0" fontId="19" fillId="17" borderId="7" xfId="0" applyFont="1" applyFill="1" applyBorder="1"/>
    <xf numFmtId="0" fontId="13" fillId="8" borderId="7" xfId="0" applyFont="1" applyFill="1" applyBorder="1"/>
    <xf numFmtId="0" fontId="20" fillId="10" borderId="7" xfId="0" applyFont="1" applyFill="1" applyBorder="1"/>
    <xf numFmtId="0" fontId="14" fillId="15" borderId="0" xfId="0" applyFont="1" applyFill="1"/>
    <xf numFmtId="0" fontId="21" fillId="0" borderId="0" xfId="0" applyFont="1"/>
    <xf numFmtId="0" fontId="1" fillId="14" borderId="0" xfId="0" applyFont="1" applyFill="1" applyAlignment="1">
      <alignment wrapText="1"/>
    </xf>
    <xf numFmtId="0" fontId="0" fillId="16" borderId="0" xfId="0" applyFill="1" applyAlignment="1">
      <alignment wrapText="1"/>
    </xf>
    <xf numFmtId="0" fontId="8" fillId="14" borderId="6" xfId="0" applyFont="1" applyFill="1" applyBorder="1"/>
    <xf numFmtId="0" fontId="9" fillId="16" borderId="6" xfId="0" applyFont="1" applyFill="1" applyBorder="1"/>
    <xf numFmtId="0" fontId="0" fillId="16" borderId="7" xfId="0" applyFill="1" applyBorder="1" applyAlignment="1">
      <alignment wrapText="1"/>
    </xf>
    <xf numFmtId="0" fontId="9" fillId="16" borderId="9" xfId="0" applyFont="1" applyFill="1" applyBorder="1"/>
    <xf numFmtId="0" fontId="0" fillId="16" borderId="10" xfId="0" applyFill="1" applyBorder="1" applyAlignment="1">
      <alignment wrapText="1"/>
    </xf>
    <xf numFmtId="0" fontId="8" fillId="14" borderId="7" xfId="0" applyFont="1" applyFill="1" applyBorder="1" applyAlignment="1">
      <alignment wrapText="1"/>
    </xf>
    <xf numFmtId="180" fontId="8" fillId="14" borderId="7" xfId="0" applyNumberFormat="1" applyFont="1" applyFill="1" applyBorder="1" applyAlignment="1">
      <alignment horizontal="right"/>
    </xf>
    <xf numFmtId="176" fontId="8" fillId="14" borderId="7" xfId="0" applyNumberFormat="1" applyFont="1" applyFill="1" applyBorder="1" applyAlignment="1">
      <alignment horizontal="right"/>
    </xf>
    <xf numFmtId="180" fontId="0" fillId="16" borderId="7" xfId="0" applyNumberFormat="1" applyFill="1" applyBorder="1" applyAlignment="1">
      <alignment horizontal="right" wrapText="1"/>
    </xf>
    <xf numFmtId="176" fontId="0" fillId="16" borderId="7" xfId="0" applyNumberFormat="1" applyFill="1" applyBorder="1" applyAlignment="1">
      <alignment horizontal="right" wrapText="1"/>
    </xf>
    <xf numFmtId="180" fontId="0" fillId="16" borderId="10" xfId="0" applyNumberFormat="1" applyFill="1" applyBorder="1" applyAlignment="1">
      <alignment horizontal="right" wrapText="1"/>
    </xf>
    <xf numFmtId="176" fontId="0" fillId="16" borderId="10" xfId="0" applyNumberFormat="1" applyFill="1" applyBorder="1" applyAlignment="1">
      <alignment horizontal="right" wrapText="1"/>
    </xf>
    <xf numFmtId="181" fontId="8" fillId="14" borderId="8" xfId="0" applyNumberFormat="1" applyFont="1" applyFill="1" applyBorder="1" applyAlignment="1">
      <alignment horizontal="right"/>
    </xf>
    <xf numFmtId="181" fontId="0" fillId="16" borderId="8" xfId="0" applyNumberFormat="1" applyFill="1" applyBorder="1" applyAlignment="1">
      <alignment horizontal="right" wrapText="1"/>
    </xf>
    <xf numFmtId="181" fontId="0" fillId="16" borderId="11" xfId="0" applyNumberFormat="1" applyFill="1" applyBorder="1" applyAlignment="1">
      <alignment horizontal="right" wrapText="1"/>
    </xf>
    <xf numFmtId="0" fontId="22" fillId="8" borderId="7" xfId="0" applyFont="1" applyFill="1" applyBorder="1"/>
    <xf numFmtId="0" fontId="18" fillId="12" borderId="7" xfId="0" applyFont="1" applyFill="1" applyBorder="1" applyAlignment="1">
      <alignment wrapText="1"/>
    </xf>
    <xf numFmtId="0" fontId="18" fillId="12" borderId="10" xfId="0" applyFont="1" applyFill="1" applyBorder="1" applyAlignment="1">
      <alignment wrapText="1"/>
    </xf>
  </cellXfs>
  <cellStyles count="1">
    <cellStyle name="Normal" xfId="0" builtinId="0"/>
  </cellStyles>
  <dxfs count="3">
    <dxf>
      <font>
        <color rgb="FF9C0006"/>
      </font>
      <fill>
        <patternFill patternType="solid">
          <fgColor indexed="64"/>
          <bgColor rgb="FFFCE4D6"/>
        </patternFill>
      </fill>
    </dxf>
    <dxf>
      <font>
        <color rgb="FF375623"/>
      </font>
      <fill>
        <patternFill patternType="solid">
          <fgColor indexed="64"/>
          <bgColor rgb="FFE2F0D9"/>
        </patternFill>
      </fill>
    </dxf>
    <dxf>
      <font>
        <color rgb="FF17365D"/>
      </font>
      <fill>
        <patternFill patternType="solid">
          <fgColor indexed="64"/>
          <bgColor rgb="FFDDEB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2CED9-EBAE-432B-BD2D-8CA2E8EE3860}">
  <dimension ref="A1:B14"/>
  <sheetViews>
    <sheetView workbookViewId="0">
      <selection activeCell="H29" sqref="H29"/>
    </sheetView>
  </sheetViews>
  <sheetFormatPr defaultRowHeight="18.75" x14ac:dyDescent="0.4"/>
  <cols>
    <col min="1" max="1" width="33.375" customWidth="1"/>
    <col min="2" max="2" width="58.375" customWidth="1"/>
  </cols>
  <sheetData>
    <row r="1" spans="1:2" ht="48" customHeight="1" x14ac:dyDescent="0.65">
      <c r="A1" s="59" t="s">
        <v>283</v>
      </c>
      <c r="B1" s="59"/>
    </row>
    <row r="2" spans="1:2" x14ac:dyDescent="0.4">
      <c r="A2" s="60" t="s">
        <v>284</v>
      </c>
      <c r="B2" s="60"/>
    </row>
    <row r="3" spans="1:2" x14ac:dyDescent="0.4">
      <c r="A3" s="85" t="s">
        <v>285</v>
      </c>
      <c r="B3" s="85"/>
    </row>
    <row r="5" spans="1:2" x14ac:dyDescent="0.4">
      <c r="A5" s="65" t="s">
        <v>286</v>
      </c>
      <c r="B5" s="65" t="s">
        <v>287</v>
      </c>
    </row>
    <row r="6" spans="1:2" ht="37.5" x14ac:dyDescent="0.4">
      <c r="A6" s="86" t="s">
        <v>288</v>
      </c>
      <c r="B6" s="12" t="s">
        <v>289</v>
      </c>
    </row>
    <row r="7" spans="1:2" ht="37.5" x14ac:dyDescent="0.4">
      <c r="A7" s="86" t="s">
        <v>290</v>
      </c>
      <c r="B7" s="12" t="s">
        <v>347</v>
      </c>
    </row>
    <row r="8" spans="1:2" ht="37.5" x14ac:dyDescent="0.4">
      <c r="A8" s="86" t="s">
        <v>291</v>
      </c>
      <c r="B8" s="12" t="s">
        <v>292</v>
      </c>
    </row>
    <row r="9" spans="1:2" x14ac:dyDescent="0.4">
      <c r="B9" s="12"/>
    </row>
    <row r="10" spans="1:2" x14ac:dyDescent="0.4">
      <c r="A10" s="62" t="s">
        <v>293</v>
      </c>
      <c r="B10" s="87"/>
    </row>
    <row r="11" spans="1:2" x14ac:dyDescent="0.4">
      <c r="A11" s="11" t="s">
        <v>294</v>
      </c>
      <c r="B11" s="12" t="s">
        <v>295</v>
      </c>
    </row>
    <row r="12" spans="1:2" x14ac:dyDescent="0.4">
      <c r="A12" s="11" t="s">
        <v>296</v>
      </c>
      <c r="B12" s="12" t="s">
        <v>297</v>
      </c>
    </row>
    <row r="13" spans="1:2" x14ac:dyDescent="0.4">
      <c r="A13" s="11" t="s">
        <v>298</v>
      </c>
      <c r="B13" s="12" t="s">
        <v>299</v>
      </c>
    </row>
    <row r="14" spans="1:2" x14ac:dyDescent="0.4">
      <c r="A14" s="11" t="s">
        <v>300</v>
      </c>
      <c r="B14" s="12" t="s">
        <v>301</v>
      </c>
    </row>
  </sheetData>
  <mergeCells count="4">
    <mergeCell ref="A1:B1"/>
    <mergeCell ref="A2:B2"/>
    <mergeCell ref="A3:B3"/>
    <mergeCell ref="A10:B10"/>
  </mergeCells>
  <phoneticPr fontId="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2"/>
  <sheetViews>
    <sheetView topLeftCell="C4" zoomScale="71" workbookViewId="0">
      <selection activeCell="H29" sqref="H29"/>
    </sheetView>
  </sheetViews>
  <sheetFormatPr defaultRowHeight="18.75" x14ac:dyDescent="0.4"/>
  <cols>
    <col min="1" max="1" width="11.625" customWidth="1"/>
    <col min="2" max="3" width="8.375" customWidth="1"/>
    <col min="4" max="5" width="10.875" customWidth="1"/>
    <col min="6" max="6" width="23.375" customWidth="1"/>
    <col min="7" max="7" width="33.375" customWidth="1"/>
    <col min="8" max="8" width="23.375" customWidth="1"/>
    <col min="9" max="9" width="15.875" customWidth="1"/>
    <col min="10" max="10" width="53.125" customWidth="1"/>
  </cols>
  <sheetData>
    <row r="1" spans="1:10" ht="30" x14ac:dyDescent="0.6">
      <c r="A1" s="51" t="s">
        <v>0</v>
      </c>
      <c r="B1" s="51"/>
      <c r="C1" s="51"/>
      <c r="D1" s="51"/>
      <c r="E1" s="51"/>
      <c r="F1" s="51"/>
      <c r="G1" s="51"/>
      <c r="H1" s="51"/>
      <c r="I1" s="51"/>
    </row>
    <row r="2" spans="1:10" x14ac:dyDescent="0.4">
      <c r="A2" s="52" t="s">
        <v>1</v>
      </c>
      <c r="B2" s="52"/>
      <c r="C2" s="52"/>
      <c r="D2" s="52"/>
      <c r="E2" s="52"/>
      <c r="F2" s="52"/>
      <c r="G2" s="52"/>
      <c r="H2" s="52"/>
      <c r="I2" s="52"/>
    </row>
    <row r="3" spans="1:10" ht="18.75" customHeight="1" x14ac:dyDescent="0.4">
      <c r="A3" s="53" t="s">
        <v>183</v>
      </c>
      <c r="B3" s="53"/>
      <c r="C3" s="53"/>
      <c r="D3" s="53"/>
      <c r="E3" s="53"/>
      <c r="F3" s="53"/>
      <c r="G3" s="53"/>
      <c r="H3" s="53"/>
      <c r="I3" s="53"/>
    </row>
    <row r="4" spans="1:10" x14ac:dyDescent="0.4">
      <c r="A4" s="53"/>
      <c r="B4" s="53"/>
      <c r="C4" s="53"/>
      <c r="D4" s="53"/>
      <c r="E4" s="53"/>
      <c r="F4" s="53"/>
      <c r="G4" s="53"/>
      <c r="H4" s="53"/>
      <c r="I4" s="53"/>
    </row>
    <row r="5" spans="1:10" x14ac:dyDescent="0.4">
      <c r="A5" s="53"/>
      <c r="B5" s="53"/>
      <c r="C5" s="53"/>
      <c r="D5" s="53"/>
      <c r="E5" s="53"/>
      <c r="F5" s="53"/>
      <c r="G5" s="53"/>
      <c r="H5" s="53"/>
      <c r="I5" s="53"/>
    </row>
    <row r="6" spans="1:10" x14ac:dyDescent="0.4">
      <c r="G6" s="12"/>
      <c r="H6" s="12"/>
    </row>
    <row r="7" spans="1:10" x14ac:dyDescent="0.4">
      <c r="A7" s="45" t="s">
        <v>2</v>
      </c>
      <c r="B7" s="45"/>
      <c r="C7" s="45" t="s">
        <v>3</v>
      </c>
      <c r="D7" s="45"/>
      <c r="E7" s="45" t="s">
        <v>4</v>
      </c>
      <c r="F7" s="45"/>
      <c r="G7" s="49" t="s">
        <v>5</v>
      </c>
      <c r="H7" s="50"/>
      <c r="I7" s="1" t="s">
        <v>212</v>
      </c>
    </row>
    <row r="8" spans="1:10" ht="33" x14ac:dyDescent="0.65">
      <c r="A8" s="46">
        <v>10</v>
      </c>
      <c r="B8" s="47"/>
      <c r="C8" s="48">
        <f>SUMIF(E12:E48,"Travel",D12:D48)</f>
        <v>0.84444444446125999</v>
      </c>
      <c r="D8" s="48"/>
      <c r="E8" s="48">
        <f>SUMIF(E12:E48,"Visit",D12:D48)+SUMIF(E12:E48,"Festival",D12:D48)</f>
        <v>1.3888888888977817</v>
      </c>
      <c r="F8" s="48"/>
      <c r="G8" s="43">
        <v>4</v>
      </c>
      <c r="H8" s="44"/>
      <c r="I8" s="28">
        <f>SUM(I12:I48)+'Booking Notes'!B13</f>
        <v>36730</v>
      </c>
    </row>
    <row r="9" spans="1:10" x14ac:dyDescent="0.4">
      <c r="G9" s="12"/>
      <c r="H9" s="12"/>
    </row>
    <row r="10" spans="1:10" ht="19.5" x14ac:dyDescent="0.4">
      <c r="A10" s="54" t="s">
        <v>6</v>
      </c>
      <c r="B10" s="54"/>
      <c r="C10" s="54"/>
      <c r="D10" s="54"/>
      <c r="E10" s="54"/>
      <c r="F10" s="54"/>
      <c r="G10" s="55"/>
      <c r="H10" s="55"/>
      <c r="I10" s="54"/>
    </row>
    <row r="11" spans="1:10" ht="36.75" x14ac:dyDescent="0.4">
      <c r="A11" s="3" t="s">
        <v>7</v>
      </c>
      <c r="B11" s="3" t="s">
        <v>8</v>
      </c>
      <c r="C11" s="3" t="s">
        <v>9</v>
      </c>
      <c r="D11" s="3" t="s">
        <v>10</v>
      </c>
      <c r="E11" s="3" t="s">
        <v>11</v>
      </c>
      <c r="F11" s="3" t="s">
        <v>12</v>
      </c>
      <c r="G11" s="31" t="s">
        <v>13</v>
      </c>
      <c r="H11" s="31" t="s">
        <v>14</v>
      </c>
      <c r="I11" s="31" t="s">
        <v>213</v>
      </c>
      <c r="J11" s="31" t="s">
        <v>216</v>
      </c>
    </row>
    <row r="12" spans="1:10" ht="72.75" x14ac:dyDescent="0.4">
      <c r="A12" s="13">
        <v>46284</v>
      </c>
      <c r="B12" s="14">
        <v>46284.345833333333</v>
      </c>
      <c r="C12" s="14">
        <v>46284.408333333333</v>
      </c>
      <c r="D12" s="15">
        <f>C12-B12</f>
        <v>6.25E-2</v>
      </c>
      <c r="E12" s="16" t="s">
        <v>15</v>
      </c>
      <c r="F12" s="16" t="s">
        <v>16</v>
      </c>
      <c r="G12" s="17" t="s">
        <v>136</v>
      </c>
      <c r="H12" s="17" t="s">
        <v>17</v>
      </c>
      <c r="I12" s="29">
        <v>0</v>
      </c>
      <c r="J12" s="33" t="s">
        <v>217</v>
      </c>
    </row>
    <row r="13" spans="1:10" ht="37.5" x14ac:dyDescent="0.4">
      <c r="A13" s="5">
        <v>46284</v>
      </c>
      <c r="B13" s="6">
        <v>46284.408333333333</v>
      </c>
      <c r="C13" s="6">
        <v>46284.4375</v>
      </c>
      <c r="D13" s="7">
        <f t="shared" ref="D13:D48" si="0">C13-B13</f>
        <v>2.9166666667151731E-2</v>
      </c>
      <c r="E13" s="8" t="s">
        <v>20</v>
      </c>
      <c r="F13" s="8" t="s">
        <v>21</v>
      </c>
      <c r="G13" s="9" t="s">
        <v>109</v>
      </c>
      <c r="H13" s="9" t="s">
        <v>22</v>
      </c>
      <c r="I13" s="29">
        <v>0</v>
      </c>
      <c r="J13" s="32" t="s">
        <v>218</v>
      </c>
    </row>
    <row r="14" spans="1:10" ht="37.5" x14ac:dyDescent="0.4">
      <c r="A14" s="13">
        <v>46284</v>
      </c>
      <c r="B14" s="14">
        <v>46284.451388888891</v>
      </c>
      <c r="C14" s="14">
        <v>46284.479166666672</v>
      </c>
      <c r="D14" s="15">
        <f t="shared" si="0"/>
        <v>2.7777777781011537E-2</v>
      </c>
      <c r="E14" s="16" t="s">
        <v>15</v>
      </c>
      <c r="F14" s="16" t="s">
        <v>24</v>
      </c>
      <c r="G14" s="17" t="s">
        <v>137</v>
      </c>
      <c r="H14" s="17" t="s">
        <v>18</v>
      </c>
      <c r="I14" s="29">
        <v>0</v>
      </c>
      <c r="J14" s="35" t="s">
        <v>219</v>
      </c>
    </row>
    <row r="15" spans="1:10" ht="37.5" x14ac:dyDescent="0.4">
      <c r="A15" s="5">
        <v>46284</v>
      </c>
      <c r="B15" s="6">
        <v>46284.479166666672</v>
      </c>
      <c r="C15" s="6">
        <v>46284.583333333328</v>
      </c>
      <c r="D15" s="7">
        <f t="shared" si="0"/>
        <v>0.10416666665696539</v>
      </c>
      <c r="E15" s="8" t="s">
        <v>19</v>
      </c>
      <c r="F15" s="8" t="s">
        <v>25</v>
      </c>
      <c r="G15" s="9" t="s">
        <v>138</v>
      </c>
      <c r="H15" s="9" t="s">
        <v>26</v>
      </c>
      <c r="I15" s="29">
        <v>0</v>
      </c>
      <c r="J15" s="32" t="s">
        <v>218</v>
      </c>
    </row>
    <row r="16" spans="1:10" ht="37.5" x14ac:dyDescent="0.4">
      <c r="A16" s="13">
        <v>46284</v>
      </c>
      <c r="B16" s="14">
        <v>46284.591666666667</v>
      </c>
      <c r="C16" s="14">
        <v>46284.617361111115</v>
      </c>
      <c r="D16" s="15">
        <f t="shared" si="0"/>
        <v>2.5694444448163267E-2</v>
      </c>
      <c r="E16" s="16" t="s">
        <v>15</v>
      </c>
      <c r="F16" s="16" t="s">
        <v>27</v>
      </c>
      <c r="G16" s="17" t="s">
        <v>139</v>
      </c>
      <c r="H16" s="17" t="s">
        <v>18</v>
      </c>
      <c r="I16" s="29">
        <v>0</v>
      </c>
      <c r="J16" s="35" t="s">
        <v>219</v>
      </c>
    </row>
    <row r="17" spans="1:10" ht="56.25" x14ac:dyDescent="0.4">
      <c r="A17" s="5">
        <v>46284</v>
      </c>
      <c r="B17" s="6">
        <v>46284.625</v>
      </c>
      <c r="C17" s="6">
        <v>46284.697916666672</v>
      </c>
      <c r="D17" s="7">
        <f t="shared" si="0"/>
        <v>7.2916666671517305E-2</v>
      </c>
      <c r="E17" s="8" t="s">
        <v>19</v>
      </c>
      <c r="F17" s="8" t="s">
        <v>21</v>
      </c>
      <c r="G17" s="9" t="s">
        <v>140</v>
      </c>
      <c r="H17" s="9" t="s">
        <v>23</v>
      </c>
      <c r="I17" s="29">
        <v>630</v>
      </c>
      <c r="J17" s="32" t="s">
        <v>218</v>
      </c>
    </row>
    <row r="18" spans="1:10" ht="56.25" x14ac:dyDescent="0.4">
      <c r="A18" s="13">
        <v>46284</v>
      </c>
      <c r="B18" s="14">
        <v>46284.708333333328</v>
      </c>
      <c r="C18" s="14">
        <v>46284.791666666672</v>
      </c>
      <c r="D18" s="15">
        <f t="shared" si="0"/>
        <v>8.333333334303461E-2</v>
      </c>
      <c r="E18" s="16" t="s">
        <v>141</v>
      </c>
      <c r="F18" s="16" t="s">
        <v>142</v>
      </c>
      <c r="G18" s="17" t="s">
        <v>143</v>
      </c>
      <c r="H18" s="17" t="s">
        <v>144</v>
      </c>
      <c r="I18" s="29">
        <v>0</v>
      </c>
      <c r="J18" s="32" t="s">
        <v>218</v>
      </c>
    </row>
    <row r="19" spans="1:10" ht="56.25" x14ac:dyDescent="0.4">
      <c r="A19" s="5">
        <v>46285</v>
      </c>
      <c r="B19" s="6">
        <v>46285.229166666672</v>
      </c>
      <c r="C19" s="6">
        <v>46285.25</v>
      </c>
      <c r="D19" s="7">
        <f t="shared" si="0"/>
        <v>2.0833333328482695E-2</v>
      </c>
      <c r="E19" s="8" t="s">
        <v>20</v>
      </c>
      <c r="F19" s="8" t="s">
        <v>21</v>
      </c>
      <c r="G19" s="9" t="s">
        <v>145</v>
      </c>
      <c r="H19" s="9" t="s">
        <v>146</v>
      </c>
      <c r="I19" s="29">
        <v>0</v>
      </c>
      <c r="J19" s="32" t="s">
        <v>218</v>
      </c>
    </row>
    <row r="20" spans="1:10" ht="54.75" x14ac:dyDescent="0.4">
      <c r="A20" s="13">
        <v>46285</v>
      </c>
      <c r="B20" s="14">
        <v>46285.254861111112</v>
      </c>
      <c r="C20" s="14">
        <v>46285.281944444447</v>
      </c>
      <c r="D20" s="15">
        <f t="shared" si="0"/>
        <v>2.7083333334303461E-2</v>
      </c>
      <c r="E20" s="16" t="s">
        <v>15</v>
      </c>
      <c r="F20" s="16" t="s">
        <v>147</v>
      </c>
      <c r="G20" s="17" t="s">
        <v>148</v>
      </c>
      <c r="H20" s="17" t="s">
        <v>149</v>
      </c>
      <c r="I20" s="29">
        <v>0</v>
      </c>
      <c r="J20" s="34" t="s">
        <v>220</v>
      </c>
    </row>
    <row r="21" spans="1:10" ht="37.5" x14ac:dyDescent="0.4">
      <c r="A21" s="5">
        <v>46285</v>
      </c>
      <c r="B21" s="6">
        <v>46285.286805555559</v>
      </c>
      <c r="C21" s="6">
        <v>46285.338888888888</v>
      </c>
      <c r="D21" s="7">
        <f t="shared" si="0"/>
        <v>5.2083333328482695E-2</v>
      </c>
      <c r="E21" s="8" t="s">
        <v>15</v>
      </c>
      <c r="F21" s="8" t="s">
        <v>150</v>
      </c>
      <c r="G21" s="9" t="s">
        <v>151</v>
      </c>
      <c r="H21" s="9" t="s">
        <v>18</v>
      </c>
      <c r="I21" s="29">
        <v>0</v>
      </c>
      <c r="J21" s="35" t="s">
        <v>221</v>
      </c>
    </row>
    <row r="22" spans="1:10" ht="37.5" x14ac:dyDescent="0.4">
      <c r="A22" s="13">
        <v>46285</v>
      </c>
      <c r="B22" s="14">
        <v>46285.338888888888</v>
      </c>
      <c r="C22" s="14">
        <v>46285.364583333328</v>
      </c>
      <c r="D22" s="15">
        <f t="shared" si="0"/>
        <v>2.569444444088731E-2</v>
      </c>
      <c r="E22" s="16" t="s">
        <v>15</v>
      </c>
      <c r="F22" s="16" t="s">
        <v>152</v>
      </c>
      <c r="G22" s="17" t="s">
        <v>153</v>
      </c>
      <c r="H22" s="17" t="s">
        <v>154</v>
      </c>
      <c r="I22" s="29">
        <v>250</v>
      </c>
      <c r="J22" s="35" t="s">
        <v>222</v>
      </c>
    </row>
    <row r="23" spans="1:10" ht="56.25" x14ac:dyDescent="0.4">
      <c r="A23" s="5">
        <v>46285</v>
      </c>
      <c r="B23" s="6">
        <v>46285.364583333328</v>
      </c>
      <c r="C23" s="6">
        <v>46285.392361111109</v>
      </c>
      <c r="D23" s="7">
        <f t="shared" si="0"/>
        <v>2.7777777781011537E-2</v>
      </c>
      <c r="E23" s="8" t="s">
        <v>19</v>
      </c>
      <c r="F23" s="8" t="s">
        <v>155</v>
      </c>
      <c r="G23" s="9" t="s">
        <v>156</v>
      </c>
      <c r="H23" s="9" t="s">
        <v>157</v>
      </c>
      <c r="I23" s="29">
        <v>0</v>
      </c>
      <c r="J23" s="32" t="s">
        <v>218</v>
      </c>
    </row>
    <row r="24" spans="1:10" ht="56.25" x14ac:dyDescent="0.4">
      <c r="A24" s="13">
        <v>46285</v>
      </c>
      <c r="B24" s="14">
        <v>46285.395833333328</v>
      </c>
      <c r="C24" s="14">
        <v>46285.4375</v>
      </c>
      <c r="D24" s="15">
        <f t="shared" si="0"/>
        <v>4.1666666671517305E-2</v>
      </c>
      <c r="E24" s="16" t="s">
        <v>141</v>
      </c>
      <c r="F24" s="16" t="s">
        <v>158</v>
      </c>
      <c r="G24" s="17" t="s">
        <v>159</v>
      </c>
      <c r="H24" s="17" t="s">
        <v>160</v>
      </c>
      <c r="I24" s="29">
        <v>0</v>
      </c>
      <c r="J24" s="32" t="s">
        <v>218</v>
      </c>
    </row>
    <row r="25" spans="1:10" ht="56.25" x14ac:dyDescent="0.4">
      <c r="A25" s="5">
        <v>46285</v>
      </c>
      <c r="B25" s="6">
        <v>46285.4375</v>
      </c>
      <c r="C25" s="6">
        <v>46285.583333333328</v>
      </c>
      <c r="D25" s="7">
        <f t="shared" si="0"/>
        <v>0.14583333332848269</v>
      </c>
      <c r="E25" s="8" t="s">
        <v>141</v>
      </c>
      <c r="F25" s="8" t="s">
        <v>161</v>
      </c>
      <c r="G25" s="9" t="s">
        <v>162</v>
      </c>
      <c r="H25" s="9" t="s">
        <v>163</v>
      </c>
      <c r="I25" s="29">
        <v>0</v>
      </c>
      <c r="J25" s="32" t="s">
        <v>218</v>
      </c>
    </row>
    <row r="26" spans="1:10" ht="75" x14ac:dyDescent="0.4">
      <c r="A26" s="13">
        <v>46285</v>
      </c>
      <c r="B26" s="14">
        <v>46285.583333333328</v>
      </c>
      <c r="C26" s="14">
        <v>46285.611111111109</v>
      </c>
      <c r="D26" s="15">
        <f t="shared" si="0"/>
        <v>2.7777777781011537E-2</v>
      </c>
      <c r="E26" s="16" t="s">
        <v>202</v>
      </c>
      <c r="F26" s="16" t="s">
        <v>203</v>
      </c>
      <c r="G26" s="17" t="s">
        <v>204</v>
      </c>
      <c r="H26" s="17" t="s">
        <v>205</v>
      </c>
      <c r="I26" s="29">
        <v>250</v>
      </c>
      <c r="J26" s="35" t="s">
        <v>223</v>
      </c>
    </row>
    <row r="27" spans="1:10" ht="75" x14ac:dyDescent="0.4">
      <c r="A27" s="5">
        <v>46285</v>
      </c>
      <c r="B27" s="6">
        <v>46285.611111111109</v>
      </c>
      <c r="C27" s="6">
        <v>46285.625</v>
      </c>
      <c r="D27" s="7">
        <f t="shared" si="0"/>
        <v>1.3888888890505768E-2</v>
      </c>
      <c r="E27" s="8" t="s">
        <v>206</v>
      </c>
      <c r="F27" s="8" t="s">
        <v>207</v>
      </c>
      <c r="G27" s="9" t="s">
        <v>208</v>
      </c>
      <c r="H27" s="9" t="s">
        <v>209</v>
      </c>
      <c r="I27" s="29">
        <v>0</v>
      </c>
      <c r="J27" s="32" t="s">
        <v>224</v>
      </c>
    </row>
    <row r="28" spans="1:10" ht="37.5" x14ac:dyDescent="0.4">
      <c r="A28" s="13">
        <v>46285</v>
      </c>
      <c r="B28" s="14">
        <v>46285.629166666666</v>
      </c>
      <c r="C28" s="14">
        <v>46285.680555555555</v>
      </c>
      <c r="D28" s="15">
        <f t="shared" si="0"/>
        <v>5.1388888889050577E-2</v>
      </c>
      <c r="E28" s="16" t="s">
        <v>15</v>
      </c>
      <c r="F28" s="16" t="s">
        <v>164</v>
      </c>
      <c r="G28" s="17" t="s">
        <v>165</v>
      </c>
      <c r="H28" s="17" t="s">
        <v>18</v>
      </c>
      <c r="I28" s="29">
        <v>0</v>
      </c>
      <c r="J28" s="35" t="s">
        <v>221</v>
      </c>
    </row>
    <row r="29" spans="1:10" ht="54.75" x14ac:dyDescent="0.4">
      <c r="A29" s="5">
        <v>46285</v>
      </c>
      <c r="B29" s="6">
        <v>46285.706250000003</v>
      </c>
      <c r="C29" s="6">
        <v>46285.787499999999</v>
      </c>
      <c r="D29" s="7">
        <f t="shared" si="0"/>
        <v>8.1249999995634425E-2</v>
      </c>
      <c r="E29" s="8" t="s">
        <v>15</v>
      </c>
      <c r="F29" s="8" t="s">
        <v>166</v>
      </c>
      <c r="G29" s="9" t="s">
        <v>167</v>
      </c>
      <c r="H29" s="9" t="s">
        <v>168</v>
      </c>
      <c r="I29" s="29">
        <v>0</v>
      </c>
      <c r="J29" s="34" t="s">
        <v>225</v>
      </c>
    </row>
    <row r="30" spans="1:10" ht="56.25" x14ac:dyDescent="0.4">
      <c r="A30" s="13">
        <v>46285</v>
      </c>
      <c r="B30" s="14">
        <v>46285.802083333328</v>
      </c>
      <c r="C30" s="14">
        <v>46285.854166666672</v>
      </c>
      <c r="D30" s="15">
        <f t="shared" si="0"/>
        <v>5.208333334303461E-2</v>
      </c>
      <c r="E30" s="16" t="s">
        <v>19</v>
      </c>
      <c r="F30" s="16" t="s">
        <v>30</v>
      </c>
      <c r="G30" s="17" t="s">
        <v>169</v>
      </c>
      <c r="H30" s="17" t="s">
        <v>31</v>
      </c>
      <c r="I30" s="29">
        <v>0</v>
      </c>
      <c r="J30" s="32" t="s">
        <v>226</v>
      </c>
    </row>
    <row r="31" spans="1:10" ht="37.5" x14ac:dyDescent="0.4">
      <c r="A31" s="5">
        <v>46286</v>
      </c>
      <c r="B31" s="6">
        <v>46286.277083333334</v>
      </c>
      <c r="C31" s="6">
        <v>46286.335416666669</v>
      </c>
      <c r="D31" s="7">
        <f t="shared" si="0"/>
        <v>5.8333333334303461E-2</v>
      </c>
      <c r="E31" s="8" t="s">
        <v>15</v>
      </c>
      <c r="F31" s="8" t="s">
        <v>170</v>
      </c>
      <c r="G31" s="9" t="s">
        <v>171</v>
      </c>
      <c r="H31" s="9" t="s">
        <v>18</v>
      </c>
      <c r="I31" s="29">
        <v>0</v>
      </c>
      <c r="J31" s="35" t="s">
        <v>227</v>
      </c>
    </row>
    <row r="32" spans="1:10" ht="37.5" x14ac:dyDescent="0.4">
      <c r="A32" s="13">
        <v>46286</v>
      </c>
      <c r="B32" s="14">
        <v>46286.335416666669</v>
      </c>
      <c r="C32" s="14">
        <v>46286.354166666672</v>
      </c>
      <c r="D32" s="15">
        <f t="shared" si="0"/>
        <v>1.8750000002910383E-2</v>
      </c>
      <c r="E32" s="16" t="s">
        <v>15</v>
      </c>
      <c r="F32" s="16" t="s">
        <v>172</v>
      </c>
      <c r="G32" s="17" t="s">
        <v>173</v>
      </c>
      <c r="H32" s="17" t="s">
        <v>174</v>
      </c>
      <c r="I32" s="29">
        <v>0</v>
      </c>
      <c r="J32" s="35" t="s">
        <v>222</v>
      </c>
    </row>
    <row r="33" spans="1:10" ht="56.25" x14ac:dyDescent="0.4">
      <c r="A33" s="5">
        <v>46286</v>
      </c>
      <c r="B33" s="6">
        <v>46286.354166666672</v>
      </c>
      <c r="C33" s="6">
        <v>46286.472222222219</v>
      </c>
      <c r="D33" s="7">
        <f t="shared" si="0"/>
        <v>0.11805555554747116</v>
      </c>
      <c r="E33" s="8" t="s">
        <v>19</v>
      </c>
      <c r="F33" s="8" t="s">
        <v>28</v>
      </c>
      <c r="G33" s="9" t="s">
        <v>175</v>
      </c>
      <c r="H33" s="9" t="s">
        <v>176</v>
      </c>
      <c r="I33" s="29">
        <v>400</v>
      </c>
      <c r="J33" s="32" t="s">
        <v>218</v>
      </c>
    </row>
    <row r="34" spans="1:10" ht="37.5" x14ac:dyDescent="0.4">
      <c r="A34" s="13">
        <v>46286</v>
      </c>
      <c r="B34" s="14">
        <v>46286.484722222223</v>
      </c>
      <c r="C34" s="14">
        <v>46286.540277777778</v>
      </c>
      <c r="D34" s="15">
        <f t="shared" si="0"/>
        <v>5.5555555554747116E-2</v>
      </c>
      <c r="E34" s="16" t="s">
        <v>15</v>
      </c>
      <c r="F34" s="16" t="s">
        <v>29</v>
      </c>
      <c r="G34" s="17" t="s">
        <v>177</v>
      </c>
      <c r="H34" s="17" t="s">
        <v>18</v>
      </c>
      <c r="I34" s="29">
        <v>0</v>
      </c>
      <c r="J34" s="35" t="s">
        <v>227</v>
      </c>
    </row>
    <row r="35" spans="1:10" ht="72.75" x14ac:dyDescent="0.4">
      <c r="A35" s="5">
        <v>46286</v>
      </c>
      <c r="B35" s="6">
        <v>46286.565972222219</v>
      </c>
      <c r="C35" s="6">
        <v>46286.597222222219</v>
      </c>
      <c r="D35" s="7">
        <f t="shared" si="0"/>
        <v>3.125E-2</v>
      </c>
      <c r="E35" s="8" t="s">
        <v>15</v>
      </c>
      <c r="F35" s="8" t="s">
        <v>32</v>
      </c>
      <c r="G35" s="9" t="s">
        <v>178</v>
      </c>
      <c r="H35" s="9" t="s">
        <v>33</v>
      </c>
      <c r="I35" s="29">
        <v>0</v>
      </c>
      <c r="J35" s="33" t="s">
        <v>228</v>
      </c>
    </row>
    <row r="36" spans="1:10" ht="56.25" x14ac:dyDescent="0.4">
      <c r="A36" s="13">
        <v>46286</v>
      </c>
      <c r="B36" s="14">
        <v>46286.597222222219</v>
      </c>
      <c r="C36" s="14">
        <v>46286.715277777781</v>
      </c>
      <c r="D36" s="15">
        <f t="shared" si="0"/>
        <v>0.11805555556202307</v>
      </c>
      <c r="E36" s="16" t="s">
        <v>19</v>
      </c>
      <c r="F36" s="16" t="s">
        <v>34</v>
      </c>
      <c r="G36" s="17" t="s">
        <v>179</v>
      </c>
      <c r="H36" s="17" t="s">
        <v>180</v>
      </c>
      <c r="I36" s="29">
        <v>0</v>
      </c>
      <c r="J36" s="32" t="s">
        <v>229</v>
      </c>
    </row>
    <row r="37" spans="1:10" ht="54.75" x14ac:dyDescent="0.4">
      <c r="A37" s="5">
        <v>46286</v>
      </c>
      <c r="B37" s="6">
        <v>46286.727777777778</v>
      </c>
      <c r="C37" s="6">
        <v>46286.758333333331</v>
      </c>
      <c r="D37" s="7">
        <f t="shared" si="0"/>
        <v>3.0555555553291924E-2</v>
      </c>
      <c r="E37" s="8" t="s">
        <v>15</v>
      </c>
      <c r="F37" s="8" t="s">
        <v>35</v>
      </c>
      <c r="G37" s="9" t="s">
        <v>181</v>
      </c>
      <c r="H37" s="9" t="s">
        <v>36</v>
      </c>
      <c r="I37" s="29">
        <v>0</v>
      </c>
      <c r="J37" s="33" t="s">
        <v>230</v>
      </c>
    </row>
    <row r="38" spans="1:10" ht="37.5" x14ac:dyDescent="0.4">
      <c r="A38" s="13">
        <v>46286</v>
      </c>
      <c r="B38" s="14">
        <v>46286.763888888891</v>
      </c>
      <c r="C38" s="14">
        <v>46286.833333333328</v>
      </c>
      <c r="D38" s="15">
        <f t="shared" si="0"/>
        <v>6.9444444437976927E-2</v>
      </c>
      <c r="E38" s="16" t="s">
        <v>19</v>
      </c>
      <c r="F38" s="16" t="s">
        <v>37</v>
      </c>
      <c r="G38" s="17" t="s">
        <v>182</v>
      </c>
      <c r="H38" s="17" t="s">
        <v>38</v>
      </c>
      <c r="I38" s="29">
        <v>0</v>
      </c>
      <c r="J38" s="32" t="s">
        <v>231</v>
      </c>
    </row>
    <row r="39" spans="1:10" ht="72.75" x14ac:dyDescent="0.4">
      <c r="A39" s="18">
        <v>46287</v>
      </c>
      <c r="B39" s="19">
        <v>46287.360416666663</v>
      </c>
      <c r="C39" s="19">
        <v>46287.451388888891</v>
      </c>
      <c r="D39" s="20">
        <f t="shared" si="0"/>
        <v>9.0972222227719612E-2</v>
      </c>
      <c r="E39" s="21" t="s">
        <v>15</v>
      </c>
      <c r="F39" s="21" t="s">
        <v>39</v>
      </c>
      <c r="G39" s="22" t="s">
        <v>40</v>
      </c>
      <c r="H39" s="22" t="s">
        <v>33</v>
      </c>
      <c r="I39" s="29">
        <v>0</v>
      </c>
      <c r="J39" s="34" t="s">
        <v>232</v>
      </c>
    </row>
    <row r="40" spans="1:10" ht="56.25" x14ac:dyDescent="0.4">
      <c r="A40" s="13">
        <v>46287</v>
      </c>
      <c r="B40" s="14">
        <v>46287.465277777781</v>
      </c>
      <c r="C40" s="14">
        <v>46287.680555555555</v>
      </c>
      <c r="D40" s="15">
        <f t="shared" si="0"/>
        <v>0.21527777777373558</v>
      </c>
      <c r="E40" s="16" t="s">
        <v>19</v>
      </c>
      <c r="F40" s="16" t="s">
        <v>41</v>
      </c>
      <c r="G40" s="17" t="s">
        <v>42</v>
      </c>
      <c r="H40" s="17" t="s">
        <v>43</v>
      </c>
      <c r="I40" s="29">
        <v>0</v>
      </c>
      <c r="J40" s="32" t="s">
        <v>233</v>
      </c>
    </row>
    <row r="41" spans="1:10" ht="37.5" x14ac:dyDescent="0.4">
      <c r="A41" s="5">
        <v>46287</v>
      </c>
      <c r="B41" s="6">
        <v>46287.694444444445</v>
      </c>
      <c r="C41" s="6">
        <v>46287.725694444445</v>
      </c>
      <c r="D41" s="7">
        <f t="shared" si="0"/>
        <v>3.125E-2</v>
      </c>
      <c r="E41" s="8" t="s">
        <v>15</v>
      </c>
      <c r="F41" s="8" t="s">
        <v>44</v>
      </c>
      <c r="G41" s="9" t="s">
        <v>45</v>
      </c>
      <c r="H41" s="9" t="s">
        <v>46</v>
      </c>
      <c r="I41" s="29">
        <v>0</v>
      </c>
      <c r="J41" s="35" t="s">
        <v>234</v>
      </c>
    </row>
    <row r="42" spans="1:10" ht="37.5" x14ac:dyDescent="0.4">
      <c r="A42" s="13">
        <v>46287</v>
      </c>
      <c r="B42" s="14">
        <v>46287.725694444445</v>
      </c>
      <c r="C42" s="14">
        <v>46287.8125</v>
      </c>
      <c r="D42" s="15">
        <f t="shared" si="0"/>
        <v>8.6805555554747116E-2</v>
      </c>
      <c r="E42" s="16" t="s">
        <v>19</v>
      </c>
      <c r="F42" s="16" t="s">
        <v>47</v>
      </c>
      <c r="G42" s="17" t="s">
        <v>48</v>
      </c>
      <c r="H42" s="17" t="s">
        <v>49</v>
      </c>
      <c r="I42" s="29">
        <v>0</v>
      </c>
      <c r="J42" s="32" t="s">
        <v>218</v>
      </c>
    </row>
    <row r="43" spans="1:10" ht="37.5" x14ac:dyDescent="0.4">
      <c r="A43" s="5">
        <v>46288</v>
      </c>
      <c r="B43" s="6">
        <v>46288.375</v>
      </c>
      <c r="C43" s="6">
        <v>46288.4375</v>
      </c>
      <c r="D43" s="7">
        <f t="shared" si="0"/>
        <v>6.25E-2</v>
      </c>
      <c r="E43" s="8" t="s">
        <v>19</v>
      </c>
      <c r="F43" s="8" t="s">
        <v>47</v>
      </c>
      <c r="G43" s="9" t="s">
        <v>50</v>
      </c>
      <c r="H43" s="9" t="s">
        <v>51</v>
      </c>
      <c r="I43" s="29">
        <v>0</v>
      </c>
      <c r="J43" s="32" t="s">
        <v>218</v>
      </c>
    </row>
    <row r="44" spans="1:10" ht="37.5" x14ac:dyDescent="0.4">
      <c r="A44" s="13">
        <v>46288</v>
      </c>
      <c r="B44" s="14">
        <v>46288.4375</v>
      </c>
      <c r="C44" s="14">
        <v>46288.46875</v>
      </c>
      <c r="D44" s="15">
        <f t="shared" si="0"/>
        <v>3.125E-2</v>
      </c>
      <c r="E44" s="16" t="s">
        <v>19</v>
      </c>
      <c r="F44" s="16" t="s">
        <v>47</v>
      </c>
      <c r="G44" s="17" t="s">
        <v>52</v>
      </c>
      <c r="H44" s="17" t="s">
        <v>53</v>
      </c>
      <c r="I44" s="29">
        <v>0</v>
      </c>
      <c r="J44" s="32" t="s">
        <v>218</v>
      </c>
    </row>
    <row r="45" spans="1:10" ht="37.5" x14ac:dyDescent="0.4">
      <c r="A45" s="5">
        <v>46288</v>
      </c>
      <c r="B45" s="6">
        <v>46288.474999999999</v>
      </c>
      <c r="C45" s="6">
        <v>46288.479166666672</v>
      </c>
      <c r="D45" s="7">
        <f t="shared" si="0"/>
        <v>4.1666666729724966E-3</v>
      </c>
      <c r="E45" s="8" t="s">
        <v>15</v>
      </c>
      <c r="F45" s="8" t="s">
        <v>54</v>
      </c>
      <c r="G45" s="9" t="s">
        <v>55</v>
      </c>
      <c r="H45" s="9" t="s">
        <v>18</v>
      </c>
      <c r="I45" s="29">
        <v>0</v>
      </c>
      <c r="J45" s="35" t="s">
        <v>234</v>
      </c>
    </row>
    <row r="46" spans="1:10" ht="54.75" x14ac:dyDescent="0.4">
      <c r="A46" s="13">
        <v>46288</v>
      </c>
      <c r="B46" s="14">
        <v>46288.494444444441</v>
      </c>
      <c r="C46" s="14">
        <v>46288.513194444444</v>
      </c>
      <c r="D46" s="15">
        <f t="shared" si="0"/>
        <v>1.8750000002910383E-2</v>
      </c>
      <c r="E46" s="16" t="s">
        <v>15</v>
      </c>
      <c r="F46" s="16" t="s">
        <v>56</v>
      </c>
      <c r="G46" s="17" t="s">
        <v>57</v>
      </c>
      <c r="H46" s="17" t="s">
        <v>33</v>
      </c>
      <c r="I46" s="29">
        <v>0</v>
      </c>
      <c r="J46" s="33" t="s">
        <v>235</v>
      </c>
    </row>
    <row r="47" spans="1:10" ht="37.5" x14ac:dyDescent="0.4">
      <c r="A47" s="5">
        <v>46288</v>
      </c>
      <c r="B47" s="6">
        <v>46288.524305555555</v>
      </c>
      <c r="C47" s="6">
        <v>46288.684027777781</v>
      </c>
      <c r="D47" s="7">
        <f t="shared" si="0"/>
        <v>0.15972222222626442</v>
      </c>
      <c r="E47" s="8" t="s">
        <v>19</v>
      </c>
      <c r="F47" s="8" t="s">
        <v>58</v>
      </c>
      <c r="G47" s="9" t="s">
        <v>59</v>
      </c>
      <c r="H47" s="9" t="s">
        <v>23</v>
      </c>
      <c r="I47" s="29">
        <v>200</v>
      </c>
      <c r="J47" s="32" t="s">
        <v>236</v>
      </c>
    </row>
    <row r="48" spans="1:10" ht="72.75" x14ac:dyDescent="0.4">
      <c r="A48" s="13">
        <v>46288</v>
      </c>
      <c r="B48" s="14">
        <v>46288.712500000001</v>
      </c>
      <c r="C48" s="14">
        <v>46288.836111111115</v>
      </c>
      <c r="D48" s="15">
        <f t="shared" si="0"/>
        <v>0.12361111111385981</v>
      </c>
      <c r="E48" s="16" t="s">
        <v>15</v>
      </c>
      <c r="F48" s="16" t="s">
        <v>60</v>
      </c>
      <c r="G48" s="17" t="s">
        <v>61</v>
      </c>
      <c r="H48" s="17" t="s">
        <v>62</v>
      </c>
      <c r="I48" s="29">
        <v>0</v>
      </c>
      <c r="J48" s="33" t="s">
        <v>237</v>
      </c>
    </row>
    <row r="49" spans="1:13" x14ac:dyDescent="0.4">
      <c r="A49" s="40" t="s">
        <v>214</v>
      </c>
      <c r="B49" s="40"/>
      <c r="C49" s="40"/>
      <c r="D49" s="40"/>
      <c r="E49" s="40"/>
      <c r="F49" s="40"/>
      <c r="G49" s="41"/>
      <c r="H49" s="41"/>
      <c r="I49" s="30">
        <f>SUM(I12:I48)</f>
        <v>1730</v>
      </c>
    </row>
    <row r="50" spans="1:13" ht="50.25" customHeight="1" x14ac:dyDescent="0.4">
      <c r="A50" s="42" t="s">
        <v>215</v>
      </c>
      <c r="B50" s="42"/>
      <c r="C50" s="42"/>
      <c r="D50" s="42"/>
      <c r="E50" s="42"/>
      <c r="F50" s="42"/>
      <c r="G50" s="42"/>
      <c r="H50" s="42"/>
      <c r="I50" s="42"/>
    </row>
    <row r="55" spans="1:13" x14ac:dyDescent="0.4">
      <c r="M55" s="31"/>
    </row>
    <row r="56" spans="1:13" x14ac:dyDescent="0.4">
      <c r="M56" s="33"/>
    </row>
    <row r="57" spans="1:13" x14ac:dyDescent="0.4">
      <c r="M57" s="32"/>
    </row>
    <row r="58" spans="1:13" x14ac:dyDescent="0.4">
      <c r="M58" s="35"/>
    </row>
    <row r="59" spans="1:13" x14ac:dyDescent="0.4">
      <c r="M59" s="32"/>
    </row>
    <row r="60" spans="1:13" x14ac:dyDescent="0.4">
      <c r="M60" s="35"/>
    </row>
    <row r="61" spans="1:13" x14ac:dyDescent="0.4">
      <c r="M61" s="32"/>
    </row>
    <row r="62" spans="1:13" x14ac:dyDescent="0.4">
      <c r="M62" s="32"/>
    </row>
    <row r="63" spans="1:13" x14ac:dyDescent="0.4">
      <c r="M63" s="32"/>
    </row>
    <row r="64" spans="1:13" x14ac:dyDescent="0.4">
      <c r="M64" s="34"/>
    </row>
    <row r="65" spans="13:13" x14ac:dyDescent="0.4">
      <c r="M65" s="35"/>
    </row>
    <row r="66" spans="13:13" x14ac:dyDescent="0.4">
      <c r="M66" s="35"/>
    </row>
    <row r="67" spans="13:13" x14ac:dyDescent="0.4">
      <c r="M67" s="32"/>
    </row>
    <row r="68" spans="13:13" x14ac:dyDescent="0.4">
      <c r="M68" s="32"/>
    </row>
    <row r="69" spans="13:13" x14ac:dyDescent="0.4">
      <c r="M69" s="32"/>
    </row>
    <row r="70" spans="13:13" x14ac:dyDescent="0.4">
      <c r="M70" s="35"/>
    </row>
    <row r="71" spans="13:13" x14ac:dyDescent="0.4">
      <c r="M71" s="32"/>
    </row>
    <row r="72" spans="13:13" x14ac:dyDescent="0.4">
      <c r="M72" s="35"/>
    </row>
    <row r="73" spans="13:13" x14ac:dyDescent="0.4">
      <c r="M73" s="34"/>
    </row>
    <row r="74" spans="13:13" x14ac:dyDescent="0.4">
      <c r="M74" s="32"/>
    </row>
    <row r="75" spans="13:13" x14ac:dyDescent="0.4">
      <c r="M75" s="35"/>
    </row>
    <row r="76" spans="13:13" x14ac:dyDescent="0.4">
      <c r="M76" s="35"/>
    </row>
    <row r="77" spans="13:13" x14ac:dyDescent="0.4">
      <c r="M77" s="32"/>
    </row>
    <row r="78" spans="13:13" x14ac:dyDescent="0.4">
      <c r="M78" s="35"/>
    </row>
    <row r="79" spans="13:13" x14ac:dyDescent="0.4">
      <c r="M79" s="33"/>
    </row>
    <row r="80" spans="13:13" x14ac:dyDescent="0.4">
      <c r="M80" s="32"/>
    </row>
    <row r="81" spans="13:13" x14ac:dyDescent="0.4">
      <c r="M81" s="33"/>
    </row>
    <row r="82" spans="13:13" x14ac:dyDescent="0.4">
      <c r="M82" s="32"/>
    </row>
    <row r="83" spans="13:13" x14ac:dyDescent="0.4">
      <c r="M83" s="34"/>
    </row>
    <row r="84" spans="13:13" x14ac:dyDescent="0.4">
      <c r="M84" s="32"/>
    </row>
    <row r="85" spans="13:13" x14ac:dyDescent="0.4">
      <c r="M85" s="35"/>
    </row>
    <row r="86" spans="13:13" x14ac:dyDescent="0.4">
      <c r="M86" s="32"/>
    </row>
    <row r="87" spans="13:13" x14ac:dyDescent="0.4">
      <c r="M87" s="32"/>
    </row>
    <row r="88" spans="13:13" x14ac:dyDescent="0.4">
      <c r="M88" s="32"/>
    </row>
    <row r="89" spans="13:13" x14ac:dyDescent="0.4">
      <c r="M89" s="35"/>
    </row>
    <row r="90" spans="13:13" x14ac:dyDescent="0.4">
      <c r="M90" s="33"/>
    </row>
    <row r="91" spans="13:13" x14ac:dyDescent="0.4">
      <c r="M91" s="32"/>
    </row>
    <row r="92" spans="13:13" x14ac:dyDescent="0.4">
      <c r="M92" s="33"/>
    </row>
  </sheetData>
  <mergeCells count="14">
    <mergeCell ref="A1:I1"/>
    <mergeCell ref="A2:I2"/>
    <mergeCell ref="A3:I5"/>
    <mergeCell ref="A10:I10"/>
    <mergeCell ref="A49:H49"/>
    <mergeCell ref="A50:I50"/>
    <mergeCell ref="G8:H8"/>
    <mergeCell ref="A7:B7"/>
    <mergeCell ref="A8:B8"/>
    <mergeCell ref="C7:D7"/>
    <mergeCell ref="C8:D8"/>
    <mergeCell ref="E7:F7"/>
    <mergeCell ref="E8:F8"/>
    <mergeCell ref="G7:H7"/>
  </mergeCells>
  <phoneticPr fontId="7"/>
  <conditionalFormatting sqref="E12:E48">
    <cfRule type="expression" dxfId="2" priority="1">
      <formula>E12="Travel"</formula>
    </cfRule>
    <cfRule type="expression" dxfId="1" priority="2">
      <formula>E12="Visit"</formula>
    </cfRule>
    <cfRule type="expression" dxfId="0" priority="3">
      <formula>E12="Festival"</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E85E0-47CF-4737-A42B-FACF1387E289}">
  <dimension ref="A1:I54"/>
  <sheetViews>
    <sheetView tabSelected="1" topLeftCell="A6" zoomScale="101" workbookViewId="0">
      <selection activeCell="G14" sqref="G14"/>
    </sheetView>
  </sheetViews>
  <sheetFormatPr defaultRowHeight="18.75" x14ac:dyDescent="0.4"/>
  <cols>
    <col min="1" max="1" width="10" customWidth="1"/>
    <col min="2" max="3" width="7" customWidth="1"/>
    <col min="4" max="5" width="10" customWidth="1"/>
    <col min="6" max="6" width="19.125" customWidth="1"/>
    <col min="7" max="7" width="31.625" customWidth="1"/>
    <col min="8" max="8" width="25" customWidth="1"/>
    <col min="9" max="9" width="15" customWidth="1"/>
  </cols>
  <sheetData>
    <row r="1" spans="1:9" ht="48" customHeight="1" x14ac:dyDescent="0.65">
      <c r="A1" s="59" t="s">
        <v>302</v>
      </c>
      <c r="B1" s="59"/>
      <c r="C1" s="59"/>
      <c r="D1" s="59"/>
      <c r="E1" s="59"/>
      <c r="F1" s="59"/>
      <c r="G1" s="59"/>
      <c r="H1" s="59"/>
      <c r="I1" s="59"/>
    </row>
    <row r="2" spans="1:9" x14ac:dyDescent="0.4">
      <c r="A2" s="60" t="s">
        <v>303</v>
      </c>
      <c r="B2" s="60"/>
      <c r="C2" s="60"/>
      <c r="D2" s="60"/>
      <c r="E2" s="60"/>
      <c r="F2" s="60"/>
      <c r="G2" s="60"/>
      <c r="H2" s="60"/>
      <c r="I2" s="60"/>
    </row>
    <row r="3" spans="1:9" x14ac:dyDescent="0.4">
      <c r="A3" s="61" t="s">
        <v>304</v>
      </c>
      <c r="B3" s="61"/>
      <c r="C3" s="61"/>
      <c r="D3" s="61"/>
      <c r="E3" s="61"/>
      <c r="F3" s="61"/>
      <c r="G3" s="61"/>
      <c r="H3" s="61"/>
      <c r="I3" s="61"/>
    </row>
    <row r="4" spans="1:9" x14ac:dyDescent="0.4">
      <c r="A4" s="61"/>
      <c r="B4" s="61"/>
      <c r="C4" s="61"/>
      <c r="D4" s="61"/>
      <c r="E4" s="61"/>
      <c r="F4" s="61"/>
      <c r="G4" s="61"/>
      <c r="H4" s="61"/>
      <c r="I4" s="61"/>
    </row>
    <row r="5" spans="1:9" x14ac:dyDescent="0.4">
      <c r="A5" s="61"/>
      <c r="B5" s="61"/>
      <c r="C5" s="61"/>
      <c r="D5" s="61"/>
      <c r="E5" s="61"/>
      <c r="F5" s="61"/>
      <c r="G5" s="61"/>
      <c r="H5" s="61"/>
      <c r="I5" s="61"/>
    </row>
    <row r="7" spans="1:9" x14ac:dyDescent="0.4">
      <c r="A7" s="63" t="s">
        <v>238</v>
      </c>
      <c r="B7" s="63"/>
      <c r="C7" s="63" t="s">
        <v>3</v>
      </c>
      <c r="D7" s="63"/>
      <c r="E7" s="63" t="s">
        <v>4</v>
      </c>
      <c r="F7" s="63"/>
      <c r="G7" s="64" t="s">
        <v>5</v>
      </c>
      <c r="H7" s="64"/>
      <c r="I7" s="66" t="s">
        <v>212</v>
      </c>
    </row>
    <row r="8" spans="1:9" ht="30" customHeight="1" x14ac:dyDescent="0.5">
      <c r="A8" s="67" t="s">
        <v>305</v>
      </c>
      <c r="B8" s="67"/>
      <c r="C8" s="68">
        <f>SUMIF(E12:E49,"Travel",D12:D49)</f>
        <v>0.63958333333333339</v>
      </c>
      <c r="D8" s="67"/>
      <c r="E8" s="68">
        <f>SUMIF(E12:E49,"Visit",D12:D49)+SUMIF(E12:E49,"Festival",D12:D49)</f>
        <v>1.53125</v>
      </c>
      <c r="F8" s="67"/>
      <c r="G8" s="67" t="s">
        <v>239</v>
      </c>
      <c r="H8" s="67"/>
      <c r="I8" s="69">
        <f>SUM(I12:I49)+'Booking Notes'!B13</f>
        <v>36130</v>
      </c>
    </row>
    <row r="10" spans="1:9" ht="19.5" x14ac:dyDescent="0.4">
      <c r="A10" s="70" t="s">
        <v>6</v>
      </c>
      <c r="B10" s="70"/>
      <c r="C10" s="70"/>
      <c r="D10" s="70"/>
      <c r="E10" s="70"/>
      <c r="F10" s="70"/>
      <c r="G10" s="70"/>
      <c r="H10" s="70"/>
      <c r="I10" s="70"/>
    </row>
    <row r="11" spans="1:9" x14ac:dyDescent="0.4">
      <c r="A11" s="71" t="s">
        <v>7</v>
      </c>
      <c r="B11" s="72" t="s">
        <v>8</v>
      </c>
      <c r="C11" s="72" t="s">
        <v>9</v>
      </c>
      <c r="D11" s="72" t="s">
        <v>10</v>
      </c>
      <c r="E11" s="72" t="s">
        <v>11</v>
      </c>
      <c r="F11" s="72" t="s">
        <v>12</v>
      </c>
      <c r="G11" s="72" t="s">
        <v>13</v>
      </c>
      <c r="H11" s="72" t="s">
        <v>14</v>
      </c>
      <c r="I11" s="73" t="s">
        <v>213</v>
      </c>
    </row>
    <row r="12" spans="1:9" ht="37.5" x14ac:dyDescent="0.4">
      <c r="A12" s="74" t="s">
        <v>240</v>
      </c>
      <c r="B12" s="78">
        <v>0.34583333333333333</v>
      </c>
      <c r="C12" s="78">
        <v>0.40833333333333333</v>
      </c>
      <c r="D12" s="79">
        <f>C12-B12</f>
        <v>6.25E-2</v>
      </c>
      <c r="E12" s="81" t="s">
        <v>15</v>
      </c>
      <c r="F12" s="75" t="s">
        <v>16</v>
      </c>
      <c r="G12" s="75" t="s">
        <v>306</v>
      </c>
      <c r="H12" s="75" t="s">
        <v>17</v>
      </c>
      <c r="I12" s="80">
        <v>0</v>
      </c>
    </row>
    <row r="13" spans="1:9" ht="37.5" x14ac:dyDescent="0.4">
      <c r="A13" s="74" t="s">
        <v>240</v>
      </c>
      <c r="B13" s="78">
        <v>0.40833333333333333</v>
      </c>
      <c r="C13" s="78">
        <v>0.4375</v>
      </c>
      <c r="D13" s="79">
        <f>C13-B13</f>
        <v>2.9166666666666674E-2</v>
      </c>
      <c r="E13" s="82" t="s">
        <v>20</v>
      </c>
      <c r="F13" s="75" t="s">
        <v>21</v>
      </c>
      <c r="G13" s="75" t="s">
        <v>241</v>
      </c>
      <c r="H13" s="75" t="s">
        <v>22</v>
      </c>
      <c r="I13" s="80">
        <v>0</v>
      </c>
    </row>
    <row r="14" spans="1:9" ht="56.25" x14ac:dyDescent="0.4">
      <c r="A14" s="74" t="s">
        <v>240</v>
      </c>
      <c r="B14" s="78">
        <v>0.4375</v>
      </c>
      <c r="C14" s="78">
        <v>0.52083333333333337</v>
      </c>
      <c r="D14" s="79">
        <f>C14-B14</f>
        <v>8.333333333333337E-2</v>
      </c>
      <c r="E14" s="83" t="s">
        <v>19</v>
      </c>
      <c r="F14" s="75" t="s">
        <v>307</v>
      </c>
      <c r="G14" s="75" t="s">
        <v>308</v>
      </c>
      <c r="H14" s="75" t="s">
        <v>309</v>
      </c>
      <c r="I14" s="80">
        <v>630</v>
      </c>
    </row>
    <row r="15" spans="1:9" ht="37.5" x14ac:dyDescent="0.4">
      <c r="A15" s="74" t="s">
        <v>240</v>
      </c>
      <c r="B15" s="78">
        <v>0.52083333333333337</v>
      </c>
      <c r="C15" s="78">
        <v>0.5625</v>
      </c>
      <c r="D15" s="79">
        <f>C15-B15</f>
        <v>4.166666666666663E-2</v>
      </c>
      <c r="E15" s="82" t="s">
        <v>20</v>
      </c>
      <c r="F15" s="75" t="s">
        <v>21</v>
      </c>
      <c r="G15" s="75" t="s">
        <v>310</v>
      </c>
      <c r="H15" s="75" t="s">
        <v>311</v>
      </c>
      <c r="I15" s="80">
        <v>0</v>
      </c>
    </row>
    <row r="16" spans="1:9" ht="56.25" x14ac:dyDescent="0.4">
      <c r="A16" s="74" t="s">
        <v>240</v>
      </c>
      <c r="B16" s="78">
        <v>0.5625</v>
      </c>
      <c r="C16" s="78">
        <v>0.6875</v>
      </c>
      <c r="D16" s="79">
        <f>C16-B16</f>
        <v>0.125</v>
      </c>
      <c r="E16" s="83" t="s">
        <v>19</v>
      </c>
      <c r="F16" s="75" t="s">
        <v>312</v>
      </c>
      <c r="G16" s="75" t="s">
        <v>313</v>
      </c>
      <c r="H16" s="75" t="s">
        <v>314</v>
      </c>
      <c r="I16" s="80">
        <v>0</v>
      </c>
    </row>
    <row r="17" spans="1:9" ht="37.5" x14ac:dyDescent="0.4">
      <c r="A17" s="74" t="s">
        <v>240</v>
      </c>
      <c r="B17" s="78">
        <v>0.70833333333333337</v>
      </c>
      <c r="C17" s="78">
        <v>0.79166666666666663</v>
      </c>
      <c r="D17" s="79">
        <f>C17-B17</f>
        <v>8.3333333333333259E-2</v>
      </c>
      <c r="E17" s="84" t="s">
        <v>141</v>
      </c>
      <c r="F17" s="75" t="s">
        <v>142</v>
      </c>
      <c r="G17" s="75" t="s">
        <v>315</v>
      </c>
      <c r="H17" s="75" t="s">
        <v>316</v>
      </c>
      <c r="I17" s="80">
        <v>0</v>
      </c>
    </row>
    <row r="18" spans="1:9" ht="37.5" x14ac:dyDescent="0.4">
      <c r="A18" s="74" t="s">
        <v>240</v>
      </c>
      <c r="B18" s="78">
        <v>0.79166666666666663</v>
      </c>
      <c r="C18" s="78">
        <v>0.85416666666666663</v>
      </c>
      <c r="D18" s="79">
        <f>C18-B18</f>
        <v>6.25E-2</v>
      </c>
      <c r="E18" s="83" t="s">
        <v>19</v>
      </c>
      <c r="F18" s="75" t="s">
        <v>317</v>
      </c>
      <c r="G18" s="75" t="s">
        <v>318</v>
      </c>
      <c r="H18" s="75" t="s">
        <v>319</v>
      </c>
      <c r="I18" s="80">
        <v>0</v>
      </c>
    </row>
    <row r="19" spans="1:9" ht="37.5" x14ac:dyDescent="0.4">
      <c r="A19" s="74" t="s">
        <v>243</v>
      </c>
      <c r="B19" s="78">
        <v>0.22916666666666666</v>
      </c>
      <c r="C19" s="78">
        <v>0.25</v>
      </c>
      <c r="D19" s="79">
        <f>C19-B19</f>
        <v>2.0833333333333343E-2</v>
      </c>
      <c r="E19" s="82" t="s">
        <v>20</v>
      </c>
      <c r="F19" s="75" t="s">
        <v>21</v>
      </c>
      <c r="G19" s="75" t="s">
        <v>320</v>
      </c>
      <c r="H19" s="75" t="s">
        <v>321</v>
      </c>
      <c r="I19" s="80">
        <v>0</v>
      </c>
    </row>
    <row r="20" spans="1:9" ht="37.5" x14ac:dyDescent="0.4">
      <c r="A20" s="74" t="s">
        <v>243</v>
      </c>
      <c r="B20" s="78">
        <v>0.25486111111111109</v>
      </c>
      <c r="C20" s="78">
        <v>0.28194444444444444</v>
      </c>
      <c r="D20" s="79">
        <f>C20-B20</f>
        <v>2.7083333333333348E-2</v>
      </c>
      <c r="E20" s="81" t="s">
        <v>15</v>
      </c>
      <c r="F20" s="75" t="s">
        <v>147</v>
      </c>
      <c r="G20" s="75" t="s">
        <v>244</v>
      </c>
      <c r="H20" s="75" t="s">
        <v>245</v>
      </c>
      <c r="I20" s="80">
        <v>0</v>
      </c>
    </row>
    <row r="21" spans="1:9" ht="37.5" x14ac:dyDescent="0.4">
      <c r="A21" s="74" t="s">
        <v>243</v>
      </c>
      <c r="B21" s="78">
        <v>0.28680555555555554</v>
      </c>
      <c r="C21" s="78">
        <v>0.33888888888888891</v>
      </c>
      <c r="D21" s="79">
        <f>C21-B21</f>
        <v>5.208333333333337E-2</v>
      </c>
      <c r="E21" s="81" t="s">
        <v>15</v>
      </c>
      <c r="F21" s="75" t="s">
        <v>150</v>
      </c>
      <c r="G21" s="75" t="s">
        <v>246</v>
      </c>
      <c r="H21" s="75" t="s">
        <v>18</v>
      </c>
      <c r="I21" s="80">
        <v>0</v>
      </c>
    </row>
    <row r="22" spans="1:9" ht="56.25" x14ac:dyDescent="0.4">
      <c r="A22" s="74" t="s">
        <v>243</v>
      </c>
      <c r="B22" s="78">
        <v>0.33888888888888891</v>
      </c>
      <c r="C22" s="78">
        <v>0.36458333333333331</v>
      </c>
      <c r="D22" s="79">
        <f>C22-B22</f>
        <v>2.5694444444444409E-2</v>
      </c>
      <c r="E22" s="81" t="s">
        <v>15</v>
      </c>
      <c r="F22" s="75" t="s">
        <v>152</v>
      </c>
      <c r="G22" s="75" t="s">
        <v>247</v>
      </c>
      <c r="H22" s="75" t="s">
        <v>154</v>
      </c>
      <c r="I22" s="80">
        <v>250</v>
      </c>
    </row>
    <row r="23" spans="1:9" ht="37.5" x14ac:dyDescent="0.4">
      <c r="A23" s="74" t="s">
        <v>243</v>
      </c>
      <c r="B23" s="78">
        <v>0.36458333333333331</v>
      </c>
      <c r="C23" s="78">
        <v>0.3923611111111111</v>
      </c>
      <c r="D23" s="79">
        <f>C23-B23</f>
        <v>2.777777777777779E-2</v>
      </c>
      <c r="E23" s="83" t="s">
        <v>19</v>
      </c>
      <c r="F23" s="75" t="s">
        <v>155</v>
      </c>
      <c r="G23" s="75" t="s">
        <v>248</v>
      </c>
      <c r="H23" s="75" t="s">
        <v>157</v>
      </c>
      <c r="I23" s="80">
        <v>0</v>
      </c>
    </row>
    <row r="24" spans="1:9" ht="56.25" x14ac:dyDescent="0.4">
      <c r="A24" s="74" t="s">
        <v>243</v>
      </c>
      <c r="B24" s="78">
        <v>0.39583333333333331</v>
      </c>
      <c r="C24" s="78">
        <v>0.4375</v>
      </c>
      <c r="D24" s="79">
        <f>C24-B24</f>
        <v>4.1666666666666685E-2</v>
      </c>
      <c r="E24" s="84" t="s">
        <v>141</v>
      </c>
      <c r="F24" s="75" t="s">
        <v>249</v>
      </c>
      <c r="G24" s="75" t="s">
        <v>250</v>
      </c>
      <c r="H24" s="75" t="s">
        <v>160</v>
      </c>
      <c r="I24" s="80">
        <v>0</v>
      </c>
    </row>
    <row r="25" spans="1:9" ht="56.25" x14ac:dyDescent="0.4">
      <c r="A25" s="74" t="s">
        <v>243</v>
      </c>
      <c r="B25" s="78">
        <v>0.4375</v>
      </c>
      <c r="C25" s="78">
        <v>0.58333333333333337</v>
      </c>
      <c r="D25" s="79">
        <f>C25-B25</f>
        <v>0.14583333333333337</v>
      </c>
      <c r="E25" s="84" t="s">
        <v>141</v>
      </c>
      <c r="F25" s="75" t="s">
        <v>161</v>
      </c>
      <c r="G25" s="75" t="s">
        <v>251</v>
      </c>
      <c r="H25" s="75" t="s">
        <v>252</v>
      </c>
      <c r="I25" s="80">
        <v>0</v>
      </c>
    </row>
    <row r="26" spans="1:9" ht="56.25" x14ac:dyDescent="0.4">
      <c r="A26" s="74" t="s">
        <v>243</v>
      </c>
      <c r="B26" s="78">
        <v>0.58333333333333337</v>
      </c>
      <c r="C26" s="78">
        <v>0.61111111111111116</v>
      </c>
      <c r="D26" s="79">
        <f>C26-B26</f>
        <v>2.777777777777779E-2</v>
      </c>
      <c r="E26" s="81" t="s">
        <v>15</v>
      </c>
      <c r="F26" s="75" t="s">
        <v>253</v>
      </c>
      <c r="G26" s="75" t="s">
        <v>254</v>
      </c>
      <c r="H26" s="75" t="s">
        <v>255</v>
      </c>
      <c r="I26" s="80">
        <v>250</v>
      </c>
    </row>
    <row r="27" spans="1:9" ht="37.5" x14ac:dyDescent="0.4">
      <c r="A27" s="74" t="s">
        <v>243</v>
      </c>
      <c r="B27" s="78">
        <v>0.61111111111111116</v>
      </c>
      <c r="C27" s="78">
        <v>0.625</v>
      </c>
      <c r="D27" s="79">
        <f>C27-B27</f>
        <v>1.388888888888884E-2</v>
      </c>
      <c r="E27" s="82" t="s">
        <v>20</v>
      </c>
      <c r="F27" s="75" t="s">
        <v>256</v>
      </c>
      <c r="G27" s="75" t="s">
        <v>257</v>
      </c>
      <c r="H27" s="75" t="s">
        <v>258</v>
      </c>
      <c r="I27" s="80">
        <v>0</v>
      </c>
    </row>
    <row r="28" spans="1:9" ht="37.5" x14ac:dyDescent="0.4">
      <c r="A28" s="74" t="s">
        <v>243</v>
      </c>
      <c r="B28" s="78">
        <v>0.62916666666666665</v>
      </c>
      <c r="C28" s="78">
        <v>0.68055555555555558</v>
      </c>
      <c r="D28" s="79">
        <f>C28-B28</f>
        <v>5.1388888888888928E-2</v>
      </c>
      <c r="E28" s="81" t="s">
        <v>15</v>
      </c>
      <c r="F28" s="75" t="s">
        <v>164</v>
      </c>
      <c r="G28" s="75" t="s">
        <v>246</v>
      </c>
      <c r="H28" s="75" t="s">
        <v>18</v>
      </c>
      <c r="I28" s="80">
        <v>0</v>
      </c>
    </row>
    <row r="29" spans="1:9" ht="37.5" x14ac:dyDescent="0.4">
      <c r="A29" s="74" t="s">
        <v>243</v>
      </c>
      <c r="B29" s="78">
        <v>0.70625000000000004</v>
      </c>
      <c r="C29" s="78">
        <v>0.73263888888888884</v>
      </c>
      <c r="D29" s="79">
        <f>C29-B29</f>
        <v>2.6388888888888795E-2</v>
      </c>
      <c r="E29" s="81" t="s">
        <v>15</v>
      </c>
      <c r="F29" s="75" t="s">
        <v>259</v>
      </c>
      <c r="G29" s="75" t="s">
        <v>322</v>
      </c>
      <c r="H29" s="75" t="s">
        <v>260</v>
      </c>
      <c r="I29" s="80">
        <v>0</v>
      </c>
    </row>
    <row r="30" spans="1:9" ht="37.5" x14ac:dyDescent="0.4">
      <c r="A30" s="74" t="s">
        <v>243</v>
      </c>
      <c r="B30" s="78">
        <v>0.75</v>
      </c>
      <c r="C30" s="78">
        <v>0.83333333333333337</v>
      </c>
      <c r="D30" s="79">
        <f>C30-B30</f>
        <v>8.333333333333337E-2</v>
      </c>
      <c r="E30" s="83" t="s">
        <v>19</v>
      </c>
      <c r="F30" s="75" t="s">
        <v>21</v>
      </c>
      <c r="G30" s="75" t="s">
        <v>323</v>
      </c>
      <c r="H30" s="75" t="s">
        <v>242</v>
      </c>
      <c r="I30" s="80">
        <v>0</v>
      </c>
    </row>
    <row r="31" spans="1:9" ht="37.5" x14ac:dyDescent="0.4">
      <c r="A31" s="74" t="s">
        <v>261</v>
      </c>
      <c r="B31" s="78">
        <v>0.29166666666666669</v>
      </c>
      <c r="C31" s="78">
        <v>0.31944444444444442</v>
      </c>
      <c r="D31" s="79">
        <f>C31-B31</f>
        <v>2.7777777777777735E-2</v>
      </c>
      <c r="E31" s="82" t="s">
        <v>20</v>
      </c>
      <c r="F31" s="75" t="s">
        <v>21</v>
      </c>
      <c r="G31" s="75" t="s">
        <v>324</v>
      </c>
      <c r="H31" s="75" t="s">
        <v>262</v>
      </c>
      <c r="I31" s="80">
        <v>0</v>
      </c>
    </row>
    <row r="32" spans="1:9" ht="37.5" x14ac:dyDescent="0.4">
      <c r="A32" s="74" t="s">
        <v>261</v>
      </c>
      <c r="B32" s="78">
        <v>0.34027777777777779</v>
      </c>
      <c r="C32" s="78">
        <v>0.36805555555555558</v>
      </c>
      <c r="D32" s="79">
        <f>C32-B32</f>
        <v>2.777777777777779E-2</v>
      </c>
      <c r="E32" s="81" t="s">
        <v>15</v>
      </c>
      <c r="F32" s="75" t="s">
        <v>24</v>
      </c>
      <c r="G32" s="75" t="s">
        <v>325</v>
      </c>
      <c r="H32" s="75" t="s">
        <v>18</v>
      </c>
      <c r="I32" s="80">
        <v>0</v>
      </c>
    </row>
    <row r="33" spans="1:9" ht="37.5" x14ac:dyDescent="0.4">
      <c r="A33" s="74" t="s">
        <v>261</v>
      </c>
      <c r="B33" s="78">
        <v>0.375</v>
      </c>
      <c r="C33" s="78">
        <v>0.5</v>
      </c>
      <c r="D33" s="79">
        <f>C33-B33</f>
        <v>0.125</v>
      </c>
      <c r="E33" s="83" t="s">
        <v>19</v>
      </c>
      <c r="F33" s="75" t="s">
        <v>25</v>
      </c>
      <c r="G33" s="75" t="s">
        <v>326</v>
      </c>
      <c r="H33" s="75" t="s">
        <v>327</v>
      </c>
      <c r="I33" s="80">
        <v>0</v>
      </c>
    </row>
    <row r="34" spans="1:9" x14ac:dyDescent="0.4">
      <c r="A34" s="74" t="s">
        <v>261</v>
      </c>
      <c r="B34" s="78">
        <v>0.5</v>
      </c>
      <c r="C34" s="78">
        <v>0.54166666666666663</v>
      </c>
      <c r="D34" s="79">
        <f>C34-B34</f>
        <v>4.166666666666663E-2</v>
      </c>
      <c r="E34" s="83" t="s">
        <v>19</v>
      </c>
      <c r="F34" s="75" t="s">
        <v>25</v>
      </c>
      <c r="G34" s="75" t="s">
        <v>328</v>
      </c>
      <c r="H34" s="75" t="s">
        <v>329</v>
      </c>
      <c r="I34" s="80">
        <v>0</v>
      </c>
    </row>
    <row r="35" spans="1:9" ht="56.25" x14ac:dyDescent="0.4">
      <c r="A35" s="74" t="s">
        <v>261</v>
      </c>
      <c r="B35" s="78">
        <v>0.54166666666666663</v>
      </c>
      <c r="C35" s="78">
        <v>0.65972222222222221</v>
      </c>
      <c r="D35" s="79">
        <f>C35-B35</f>
        <v>0.11805555555555558</v>
      </c>
      <c r="E35" s="83" t="s">
        <v>19</v>
      </c>
      <c r="F35" s="75" t="s">
        <v>25</v>
      </c>
      <c r="G35" s="75" t="s">
        <v>330</v>
      </c>
      <c r="H35" s="75" t="s">
        <v>331</v>
      </c>
      <c r="I35" s="80">
        <v>0</v>
      </c>
    </row>
    <row r="36" spans="1:9" ht="37.5" x14ac:dyDescent="0.4">
      <c r="A36" s="74" t="s">
        <v>261</v>
      </c>
      <c r="B36" s="78">
        <v>0.67013888888888884</v>
      </c>
      <c r="C36" s="78">
        <v>0.69791666666666663</v>
      </c>
      <c r="D36" s="79">
        <f>C36-B36</f>
        <v>2.777777777777779E-2</v>
      </c>
      <c r="E36" s="81" t="s">
        <v>15</v>
      </c>
      <c r="F36" s="75" t="s">
        <v>27</v>
      </c>
      <c r="G36" s="75" t="s">
        <v>332</v>
      </c>
      <c r="H36" s="75" t="s">
        <v>18</v>
      </c>
      <c r="I36" s="80">
        <v>0</v>
      </c>
    </row>
    <row r="37" spans="1:9" ht="56.25" x14ac:dyDescent="0.4">
      <c r="A37" s="74" t="s">
        <v>261</v>
      </c>
      <c r="B37" s="78">
        <v>0.69791666666666663</v>
      </c>
      <c r="C37" s="78">
        <v>0.76041666666666663</v>
      </c>
      <c r="D37" s="79">
        <f>C37-B37</f>
        <v>6.25E-2</v>
      </c>
      <c r="E37" s="82" t="s">
        <v>20</v>
      </c>
      <c r="F37" s="75" t="s">
        <v>333</v>
      </c>
      <c r="G37" s="75" t="s">
        <v>334</v>
      </c>
      <c r="H37" s="75" t="s">
        <v>335</v>
      </c>
      <c r="I37" s="80">
        <v>0</v>
      </c>
    </row>
    <row r="38" spans="1:9" ht="37.5" x14ac:dyDescent="0.4">
      <c r="A38" s="74" t="s">
        <v>261</v>
      </c>
      <c r="B38" s="78">
        <v>0.78749999999999998</v>
      </c>
      <c r="C38" s="78">
        <v>0.86111111111111116</v>
      </c>
      <c r="D38" s="79">
        <f>C38-B38</f>
        <v>7.3611111111111183E-2</v>
      </c>
      <c r="E38" s="81" t="s">
        <v>15</v>
      </c>
      <c r="F38" s="75" t="s">
        <v>263</v>
      </c>
      <c r="G38" s="75" t="s">
        <v>336</v>
      </c>
      <c r="H38" s="75" t="s">
        <v>33</v>
      </c>
      <c r="I38" s="80">
        <v>0</v>
      </c>
    </row>
    <row r="39" spans="1:9" ht="56.25" x14ac:dyDescent="0.4">
      <c r="A39" s="74" t="s">
        <v>261</v>
      </c>
      <c r="B39" s="78">
        <v>0.86111111111111116</v>
      </c>
      <c r="C39" s="78">
        <v>0.88194444444444442</v>
      </c>
      <c r="D39" s="79">
        <f>C39-B39</f>
        <v>2.0833333333333259E-2</v>
      </c>
      <c r="E39" s="81" t="s">
        <v>15</v>
      </c>
      <c r="F39" s="75" t="s">
        <v>264</v>
      </c>
      <c r="G39" s="75" t="s">
        <v>337</v>
      </c>
      <c r="H39" s="75" t="s">
        <v>46</v>
      </c>
      <c r="I39" s="80">
        <v>0</v>
      </c>
    </row>
    <row r="40" spans="1:9" ht="37.5" x14ac:dyDescent="0.4">
      <c r="A40" s="74" t="s">
        <v>266</v>
      </c>
      <c r="B40" s="78">
        <v>0.33333333333333331</v>
      </c>
      <c r="C40" s="78">
        <v>0.3576388888888889</v>
      </c>
      <c r="D40" s="79">
        <f>C40-B40</f>
        <v>2.430555555555558E-2</v>
      </c>
      <c r="E40" s="82" t="s">
        <v>20</v>
      </c>
      <c r="F40" s="75" t="s">
        <v>265</v>
      </c>
      <c r="G40" s="75" t="s">
        <v>338</v>
      </c>
      <c r="H40" s="75" t="s">
        <v>339</v>
      </c>
      <c r="I40" s="80">
        <v>0</v>
      </c>
    </row>
    <row r="41" spans="1:9" ht="37.5" x14ac:dyDescent="0.4">
      <c r="A41" s="74" t="s">
        <v>266</v>
      </c>
      <c r="B41" s="78">
        <v>0.36041666666666666</v>
      </c>
      <c r="C41" s="78">
        <v>0.3923611111111111</v>
      </c>
      <c r="D41" s="79">
        <f>C41-B41</f>
        <v>3.1944444444444442E-2</v>
      </c>
      <c r="E41" s="81" t="s">
        <v>15</v>
      </c>
      <c r="F41" s="75" t="s">
        <v>267</v>
      </c>
      <c r="G41" s="75" t="s">
        <v>268</v>
      </c>
      <c r="H41" s="75" t="s">
        <v>18</v>
      </c>
      <c r="I41" s="80">
        <v>0</v>
      </c>
    </row>
    <row r="42" spans="1:9" ht="56.25" x14ac:dyDescent="0.4">
      <c r="A42" s="74" t="s">
        <v>266</v>
      </c>
      <c r="B42" s="78">
        <v>0.39583333333333331</v>
      </c>
      <c r="C42" s="78">
        <v>0.66666666666666663</v>
      </c>
      <c r="D42" s="79">
        <f>C42-B42</f>
        <v>0.27083333333333331</v>
      </c>
      <c r="E42" s="83" t="s">
        <v>19</v>
      </c>
      <c r="F42" s="75" t="s">
        <v>269</v>
      </c>
      <c r="G42" s="75" t="s">
        <v>270</v>
      </c>
      <c r="H42" s="75" t="s">
        <v>43</v>
      </c>
      <c r="I42" s="80">
        <v>0</v>
      </c>
    </row>
    <row r="43" spans="1:9" ht="37.5" x14ac:dyDescent="0.4">
      <c r="A43" s="74" t="s">
        <v>266</v>
      </c>
      <c r="B43" s="78">
        <v>0.68055555555555558</v>
      </c>
      <c r="C43" s="78">
        <v>0.71180555555555558</v>
      </c>
      <c r="D43" s="79">
        <f>C43-B43</f>
        <v>3.125E-2</v>
      </c>
      <c r="E43" s="81" t="s">
        <v>15</v>
      </c>
      <c r="F43" s="75" t="s">
        <v>44</v>
      </c>
      <c r="G43" s="75" t="s">
        <v>340</v>
      </c>
      <c r="H43" s="75" t="s">
        <v>18</v>
      </c>
      <c r="I43" s="80">
        <v>0</v>
      </c>
    </row>
    <row r="44" spans="1:9" ht="37.5" x14ac:dyDescent="0.4">
      <c r="A44" s="74" t="s">
        <v>266</v>
      </c>
      <c r="B44" s="78">
        <v>0.71875</v>
      </c>
      <c r="C44" s="78">
        <v>0.8125</v>
      </c>
      <c r="D44" s="79">
        <f>C44-B44</f>
        <v>9.375E-2</v>
      </c>
      <c r="E44" s="83" t="s">
        <v>19</v>
      </c>
      <c r="F44" s="75" t="s">
        <v>265</v>
      </c>
      <c r="G44" s="75" t="s">
        <v>271</v>
      </c>
      <c r="H44" s="75" t="s">
        <v>49</v>
      </c>
      <c r="I44" s="80">
        <v>0</v>
      </c>
    </row>
    <row r="45" spans="1:9" ht="37.5" x14ac:dyDescent="0.4">
      <c r="A45" s="74" t="s">
        <v>272</v>
      </c>
      <c r="B45" s="78">
        <v>0.33333333333333331</v>
      </c>
      <c r="C45" s="78">
        <v>0.375</v>
      </c>
      <c r="D45" s="79">
        <f>C45-B45</f>
        <v>4.1666666666666685E-2</v>
      </c>
      <c r="E45" s="82" t="s">
        <v>20</v>
      </c>
      <c r="F45" s="75" t="s">
        <v>265</v>
      </c>
      <c r="G45" s="75" t="s">
        <v>273</v>
      </c>
      <c r="H45" s="75" t="s">
        <v>274</v>
      </c>
      <c r="I45" s="80">
        <v>0</v>
      </c>
    </row>
    <row r="46" spans="1:9" ht="37.5" x14ac:dyDescent="0.4">
      <c r="A46" s="74" t="s">
        <v>272</v>
      </c>
      <c r="B46" s="78">
        <v>0.375</v>
      </c>
      <c r="C46" s="78">
        <v>0.47916666666666669</v>
      </c>
      <c r="D46" s="79">
        <f>C46-B46</f>
        <v>0.10416666666666669</v>
      </c>
      <c r="E46" s="83" t="s">
        <v>19</v>
      </c>
      <c r="F46" s="75" t="s">
        <v>265</v>
      </c>
      <c r="G46" s="75" t="s">
        <v>341</v>
      </c>
      <c r="H46" s="75" t="s">
        <v>275</v>
      </c>
      <c r="I46" s="80">
        <v>0</v>
      </c>
    </row>
    <row r="47" spans="1:9" ht="58.5" x14ac:dyDescent="0.4">
      <c r="A47" s="89" t="s">
        <v>272</v>
      </c>
      <c r="B47" s="95">
        <v>0.47916666666666669</v>
      </c>
      <c r="C47" s="95">
        <v>0.60416666666666663</v>
      </c>
      <c r="D47" s="96">
        <f>C47-B47</f>
        <v>0.12499999999999994</v>
      </c>
      <c r="E47" s="104" t="s">
        <v>19</v>
      </c>
      <c r="F47" s="94" t="s">
        <v>265</v>
      </c>
      <c r="G47" s="94" t="s">
        <v>342</v>
      </c>
      <c r="H47" s="94" t="s">
        <v>276</v>
      </c>
      <c r="I47" s="101">
        <v>0</v>
      </c>
    </row>
    <row r="48" spans="1:9" ht="37.5" x14ac:dyDescent="0.4">
      <c r="A48" s="90" t="s">
        <v>272</v>
      </c>
      <c r="B48" s="97">
        <v>0.63888888888888884</v>
      </c>
      <c r="C48" s="97">
        <v>0.64930555555555558</v>
      </c>
      <c r="D48" s="98">
        <f>C48-B48</f>
        <v>1.0416666666666741E-2</v>
      </c>
      <c r="E48" s="105" t="s">
        <v>15</v>
      </c>
      <c r="F48" s="91" t="s">
        <v>54</v>
      </c>
      <c r="G48" s="91" t="s">
        <v>277</v>
      </c>
      <c r="H48" s="91" t="s">
        <v>18</v>
      </c>
      <c r="I48" s="102">
        <v>0</v>
      </c>
    </row>
    <row r="49" spans="1:9" ht="37.5" x14ac:dyDescent="0.4">
      <c r="A49" s="92" t="s">
        <v>272</v>
      </c>
      <c r="B49" s="99">
        <v>0.69305555555555554</v>
      </c>
      <c r="C49" s="99">
        <v>0.83611111111111114</v>
      </c>
      <c r="D49" s="100">
        <f>C49-B49</f>
        <v>0.1430555555555556</v>
      </c>
      <c r="E49" s="106" t="s">
        <v>15</v>
      </c>
      <c r="F49" s="93" t="s">
        <v>278</v>
      </c>
      <c r="G49" s="93" t="s">
        <v>279</v>
      </c>
      <c r="H49" s="93" t="s">
        <v>62</v>
      </c>
      <c r="I49" s="103">
        <v>0</v>
      </c>
    </row>
    <row r="50" spans="1:9" x14ac:dyDescent="0.4">
      <c r="A50" s="76"/>
      <c r="B50" s="88"/>
      <c r="C50" s="88"/>
      <c r="D50" s="88"/>
      <c r="E50" s="88"/>
      <c r="F50" s="88"/>
      <c r="G50" s="88"/>
      <c r="H50" s="88"/>
      <c r="I50" s="88"/>
    </row>
    <row r="51" spans="1:9" ht="19.5" x14ac:dyDescent="0.4">
      <c r="A51" s="70" t="s">
        <v>280</v>
      </c>
      <c r="B51" s="70"/>
      <c r="C51" s="70"/>
      <c r="D51" s="70"/>
      <c r="E51" s="70"/>
      <c r="F51" s="70"/>
      <c r="G51" s="70"/>
      <c r="H51" s="70"/>
      <c r="I51" s="70"/>
    </row>
    <row r="52" spans="1:9" x14ac:dyDescent="0.4">
      <c r="A52" s="76" t="s">
        <v>281</v>
      </c>
      <c r="B52" s="77" t="s">
        <v>344</v>
      </c>
      <c r="C52" s="77"/>
      <c r="D52" s="77"/>
      <c r="E52" s="77"/>
      <c r="F52" s="77"/>
      <c r="G52" s="77"/>
      <c r="H52" s="77"/>
      <c r="I52" s="77"/>
    </row>
    <row r="53" spans="1:9" x14ac:dyDescent="0.4">
      <c r="A53" s="76" t="s">
        <v>282</v>
      </c>
      <c r="B53" s="77" t="s">
        <v>345</v>
      </c>
      <c r="C53" s="77"/>
      <c r="D53" s="77"/>
      <c r="E53" s="77"/>
      <c r="F53" s="77"/>
      <c r="G53" s="77"/>
      <c r="H53" s="77"/>
      <c r="I53" s="77"/>
    </row>
    <row r="54" spans="1:9" x14ac:dyDescent="0.4">
      <c r="A54" s="76" t="s">
        <v>343</v>
      </c>
      <c r="B54" s="77" t="s">
        <v>346</v>
      </c>
      <c r="C54" s="77"/>
      <c r="D54" s="77"/>
      <c r="E54" s="77"/>
      <c r="F54" s="77"/>
      <c r="G54" s="77"/>
      <c r="H54" s="77"/>
      <c r="I54" s="77"/>
    </row>
  </sheetData>
  <mergeCells count="16">
    <mergeCell ref="B54:I54"/>
    <mergeCell ref="A51:I51"/>
    <mergeCell ref="B52:I52"/>
    <mergeCell ref="B53:I53"/>
    <mergeCell ref="A8:B8"/>
    <mergeCell ref="G8:H8"/>
    <mergeCell ref="C8:D8"/>
    <mergeCell ref="E8:F8"/>
    <mergeCell ref="A10:I10"/>
    <mergeCell ref="A1:I1"/>
    <mergeCell ref="A2:I2"/>
    <mergeCell ref="A3:I5"/>
    <mergeCell ref="A7:B7"/>
    <mergeCell ref="C7:D7"/>
    <mergeCell ref="E7:F7"/>
    <mergeCell ref="G7:H7"/>
  </mergeCells>
  <phoneticPr fontId="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900D4-B07C-498B-BC39-BA052B624B72}">
  <dimension ref="A1:D49"/>
  <sheetViews>
    <sheetView topLeftCell="A23" zoomScale="82" workbookViewId="0">
      <selection activeCell="G16" sqref="G16"/>
    </sheetView>
  </sheetViews>
  <sheetFormatPr defaultRowHeight="18.75" x14ac:dyDescent="0.4"/>
  <cols>
    <col min="1" max="1" width="18.375" customWidth="1"/>
    <col min="2" max="2" width="30" customWidth="1"/>
    <col min="3" max="4" width="33.375" customWidth="1"/>
  </cols>
  <sheetData>
    <row r="1" spans="1:4" ht="30" x14ac:dyDescent="0.6">
      <c r="A1" s="51" t="s">
        <v>63</v>
      </c>
      <c r="B1" s="51"/>
      <c r="C1" s="51"/>
      <c r="D1" s="51"/>
    </row>
    <row r="2" spans="1:4" x14ac:dyDescent="0.4">
      <c r="A2" s="52" t="s">
        <v>64</v>
      </c>
      <c r="B2" s="52"/>
      <c r="C2" s="52"/>
      <c r="D2" s="52"/>
    </row>
    <row r="4" spans="1:4" x14ac:dyDescent="0.4">
      <c r="A4" s="56" t="s">
        <v>65</v>
      </c>
      <c r="B4" s="56"/>
      <c r="C4" s="56"/>
      <c r="D4" s="56"/>
    </row>
    <row r="5" spans="1:4" x14ac:dyDescent="0.4">
      <c r="A5" s="2" t="s">
        <v>66</v>
      </c>
      <c r="B5" s="2" t="s">
        <v>67</v>
      </c>
      <c r="C5" s="2" t="s">
        <v>68</v>
      </c>
      <c r="D5" s="2" t="s">
        <v>69</v>
      </c>
    </row>
    <row r="6" spans="1:4" ht="56.25" x14ac:dyDescent="0.4">
      <c r="A6" s="10">
        <v>1</v>
      </c>
      <c r="B6" s="4" t="s">
        <v>70</v>
      </c>
      <c r="C6" s="4" t="s">
        <v>71</v>
      </c>
      <c r="D6" s="4" t="s">
        <v>72</v>
      </c>
    </row>
    <row r="7" spans="1:4" ht="56.25" x14ac:dyDescent="0.4">
      <c r="A7" s="10">
        <v>2</v>
      </c>
      <c r="B7" s="4" t="s">
        <v>184</v>
      </c>
      <c r="C7" s="4" t="s">
        <v>185</v>
      </c>
      <c r="D7" s="4" t="s">
        <v>186</v>
      </c>
    </row>
    <row r="8" spans="1:4" ht="37.5" x14ac:dyDescent="0.4">
      <c r="A8" s="10">
        <v>3</v>
      </c>
      <c r="B8" s="4" t="s">
        <v>73</v>
      </c>
      <c r="C8" s="4" t="s">
        <v>74</v>
      </c>
      <c r="D8" s="4" t="s">
        <v>75</v>
      </c>
    </row>
    <row r="9" spans="1:4" ht="56.25" x14ac:dyDescent="0.4">
      <c r="A9" s="10">
        <v>4</v>
      </c>
      <c r="B9" s="4" t="s">
        <v>187</v>
      </c>
      <c r="C9" s="4" t="s">
        <v>188</v>
      </c>
      <c r="D9" s="4" t="s">
        <v>189</v>
      </c>
    </row>
    <row r="10" spans="1:4" ht="37.5" x14ac:dyDescent="0.4">
      <c r="A10" s="10">
        <v>5</v>
      </c>
      <c r="B10" s="4" t="s">
        <v>76</v>
      </c>
      <c r="C10" s="4" t="s">
        <v>77</v>
      </c>
      <c r="D10" s="4" t="s">
        <v>78</v>
      </c>
    </row>
    <row r="11" spans="1:4" x14ac:dyDescent="0.4">
      <c r="B11" s="12"/>
      <c r="C11" s="12"/>
      <c r="D11" s="12"/>
    </row>
    <row r="12" spans="1:4" x14ac:dyDescent="0.4">
      <c r="A12" s="56" t="s">
        <v>79</v>
      </c>
      <c r="B12" s="57"/>
      <c r="C12" s="57"/>
      <c r="D12" s="57"/>
    </row>
    <row r="13" spans="1:4" x14ac:dyDescent="0.4">
      <c r="A13" t="s">
        <v>80</v>
      </c>
      <c r="B13" s="36">
        <v>35000</v>
      </c>
      <c r="C13" s="58" t="s">
        <v>85</v>
      </c>
      <c r="D13" s="58"/>
    </row>
    <row r="14" spans="1:4" x14ac:dyDescent="0.4">
      <c r="A14" t="s">
        <v>81</v>
      </c>
      <c r="B14" s="37">
        <v>5</v>
      </c>
      <c r="C14" s="58"/>
      <c r="D14" s="58"/>
    </row>
    <row r="15" spans="1:4" x14ac:dyDescent="0.4">
      <c r="A15" t="s">
        <v>82</v>
      </c>
      <c r="B15" s="38">
        <v>10</v>
      </c>
      <c r="C15" s="58"/>
      <c r="D15" s="58"/>
    </row>
    <row r="16" spans="1:4" x14ac:dyDescent="0.4">
      <c r="A16" t="s">
        <v>83</v>
      </c>
      <c r="B16" s="38">
        <v>5</v>
      </c>
      <c r="C16" s="58"/>
      <c r="D16" s="58"/>
    </row>
    <row r="17" spans="1:4" x14ac:dyDescent="0.4">
      <c r="A17" t="s">
        <v>84</v>
      </c>
      <c r="B17" s="38">
        <v>4</v>
      </c>
      <c r="C17" s="58"/>
      <c r="D17" s="58"/>
    </row>
    <row r="18" spans="1:4" x14ac:dyDescent="0.4">
      <c r="B18" s="12"/>
      <c r="C18" s="12"/>
      <c r="D18" s="12"/>
    </row>
    <row r="19" spans="1:4" x14ac:dyDescent="0.4">
      <c r="A19" s="56" t="s">
        <v>86</v>
      </c>
      <c r="B19" s="57"/>
      <c r="C19" s="57"/>
      <c r="D19" s="57"/>
    </row>
    <row r="20" spans="1:4" ht="75" x14ac:dyDescent="0.4">
      <c r="A20" s="11" t="s">
        <v>87</v>
      </c>
      <c r="B20" s="12" t="s">
        <v>88</v>
      </c>
      <c r="C20" s="12"/>
      <c r="D20" s="12"/>
    </row>
    <row r="21" spans="1:4" ht="75" x14ac:dyDescent="0.4">
      <c r="A21" s="11" t="s">
        <v>89</v>
      </c>
      <c r="B21" s="12" t="s">
        <v>90</v>
      </c>
      <c r="C21" s="12"/>
      <c r="D21" s="12"/>
    </row>
    <row r="22" spans="1:4" ht="75" x14ac:dyDescent="0.4">
      <c r="A22" s="11" t="s">
        <v>91</v>
      </c>
      <c r="B22" s="12" t="s">
        <v>92</v>
      </c>
      <c r="C22" s="12"/>
      <c r="D22" s="12"/>
    </row>
    <row r="23" spans="1:4" ht="75" x14ac:dyDescent="0.4">
      <c r="A23" s="11" t="s">
        <v>41</v>
      </c>
      <c r="B23" s="12" t="s">
        <v>93</v>
      </c>
      <c r="C23" s="12"/>
      <c r="D23" s="12"/>
    </row>
    <row r="24" spans="1:4" ht="75" x14ac:dyDescent="0.4">
      <c r="A24" s="11" t="s">
        <v>94</v>
      </c>
      <c r="B24" s="12" t="s">
        <v>95</v>
      </c>
      <c r="C24" s="12"/>
      <c r="D24" s="12"/>
    </row>
    <row r="25" spans="1:4" x14ac:dyDescent="0.4">
      <c r="B25" s="12"/>
      <c r="C25" s="12"/>
      <c r="D25" s="12"/>
    </row>
    <row r="26" spans="1:4" x14ac:dyDescent="0.4">
      <c r="A26" s="56" t="s">
        <v>96</v>
      </c>
      <c r="B26" s="57"/>
      <c r="C26" s="57"/>
      <c r="D26" s="57"/>
    </row>
    <row r="27" spans="1:4" x14ac:dyDescent="0.4">
      <c r="A27" s="2" t="s">
        <v>97</v>
      </c>
      <c r="B27" s="39" t="s">
        <v>98</v>
      </c>
      <c r="C27" s="12"/>
      <c r="D27" s="12"/>
    </row>
    <row r="28" spans="1:4" ht="37.5" x14ac:dyDescent="0.4">
      <c r="A28" t="s">
        <v>99</v>
      </c>
      <c r="B28" s="12" t="s">
        <v>100</v>
      </c>
      <c r="C28" s="12"/>
      <c r="D28" s="12"/>
    </row>
    <row r="29" spans="1:4" ht="37.5" x14ac:dyDescent="0.4">
      <c r="A29" t="s">
        <v>101</v>
      </c>
      <c r="B29" s="12" t="s">
        <v>102</v>
      </c>
      <c r="C29" s="12"/>
      <c r="D29" s="12"/>
    </row>
    <row r="30" spans="1:4" x14ac:dyDescent="0.4">
      <c r="A30" t="s">
        <v>103</v>
      </c>
      <c r="B30" s="12" t="s">
        <v>104</v>
      </c>
      <c r="C30" s="12"/>
      <c r="D30" s="12"/>
    </row>
    <row r="31" spans="1:4" ht="37.5" x14ac:dyDescent="0.4">
      <c r="A31" t="s">
        <v>105</v>
      </c>
      <c r="B31" s="12" t="s">
        <v>106</v>
      </c>
      <c r="C31" s="12"/>
      <c r="D31" s="12"/>
    </row>
    <row r="32" spans="1:4" ht="37.5" x14ac:dyDescent="0.4">
      <c r="A32" t="s">
        <v>107</v>
      </c>
      <c r="B32" s="12" t="s">
        <v>108</v>
      </c>
      <c r="C32" s="12"/>
      <c r="D32" s="12"/>
    </row>
    <row r="33" spans="1:4" ht="37.5" x14ac:dyDescent="0.4">
      <c r="A33" t="s">
        <v>110</v>
      </c>
      <c r="B33" s="12" t="s">
        <v>111</v>
      </c>
      <c r="C33" s="12"/>
      <c r="D33" s="12"/>
    </row>
    <row r="34" spans="1:4" x14ac:dyDescent="0.4">
      <c r="A34" t="s">
        <v>112</v>
      </c>
      <c r="B34" s="12" t="s">
        <v>113</v>
      </c>
      <c r="C34" s="12"/>
      <c r="D34" s="12"/>
    </row>
    <row r="35" spans="1:4" ht="37.5" x14ac:dyDescent="0.4">
      <c r="A35" t="s">
        <v>114</v>
      </c>
      <c r="B35" s="12" t="s">
        <v>115</v>
      </c>
      <c r="C35" s="12"/>
      <c r="D35" s="12"/>
    </row>
    <row r="36" spans="1:4" ht="37.5" x14ac:dyDescent="0.4">
      <c r="A36" t="s">
        <v>116</v>
      </c>
      <c r="B36" s="12" t="s">
        <v>117</v>
      </c>
      <c r="C36" s="12"/>
      <c r="D36" s="12"/>
    </row>
    <row r="37" spans="1:4" ht="56.25" x14ac:dyDescent="0.4">
      <c r="A37" t="s">
        <v>118</v>
      </c>
      <c r="B37" s="12" t="s">
        <v>119</v>
      </c>
      <c r="C37" s="12"/>
      <c r="D37" s="12"/>
    </row>
    <row r="38" spans="1:4" x14ac:dyDescent="0.4">
      <c r="B38" s="12"/>
      <c r="C38" s="12"/>
      <c r="D38" s="12"/>
    </row>
    <row r="39" spans="1:4" x14ac:dyDescent="0.4">
      <c r="A39" s="56" t="s">
        <v>190</v>
      </c>
      <c r="B39" s="57"/>
      <c r="C39" s="57"/>
      <c r="D39" s="57"/>
    </row>
    <row r="40" spans="1:4" x14ac:dyDescent="0.4">
      <c r="A40" s="3" t="s">
        <v>191</v>
      </c>
      <c r="B40" s="31" t="s">
        <v>192</v>
      </c>
      <c r="C40" s="31" t="s">
        <v>193</v>
      </c>
      <c r="D40" s="31" t="s">
        <v>194</v>
      </c>
    </row>
    <row r="41" spans="1:4" ht="56.25" x14ac:dyDescent="0.4">
      <c r="A41" s="23" t="s">
        <v>195</v>
      </c>
      <c r="B41" s="24" t="s">
        <v>196</v>
      </c>
      <c r="C41" s="24" t="s">
        <v>210</v>
      </c>
      <c r="D41" s="24" t="s">
        <v>211</v>
      </c>
    </row>
    <row r="42" spans="1:4" ht="56.25" x14ac:dyDescent="0.4">
      <c r="A42" s="25" t="s">
        <v>197</v>
      </c>
      <c r="B42" s="26" t="s">
        <v>198</v>
      </c>
      <c r="C42" s="26" t="s">
        <v>199</v>
      </c>
      <c r="D42" s="26" t="s">
        <v>200</v>
      </c>
    </row>
    <row r="43" spans="1:4" x14ac:dyDescent="0.4">
      <c r="B43" s="12"/>
      <c r="C43" s="12"/>
      <c r="D43" s="12"/>
    </row>
    <row r="44" spans="1:4" x14ac:dyDescent="0.4">
      <c r="A44" s="56" t="s">
        <v>120</v>
      </c>
      <c r="B44" s="57"/>
      <c r="C44" s="57"/>
      <c r="D44" s="57"/>
    </row>
    <row r="45" spans="1:4" x14ac:dyDescent="0.4">
      <c r="A45" s="3" t="s">
        <v>7</v>
      </c>
      <c r="B45" s="31" t="s">
        <v>121</v>
      </c>
      <c r="C45" s="31" t="s">
        <v>122</v>
      </c>
      <c r="D45" s="31" t="s">
        <v>123</v>
      </c>
    </row>
    <row r="46" spans="1:4" ht="37.5" x14ac:dyDescent="0.4">
      <c r="A46" s="27">
        <v>46284</v>
      </c>
      <c r="B46" s="4" t="s">
        <v>21</v>
      </c>
      <c r="C46" s="4" t="s">
        <v>124</v>
      </c>
      <c r="D46" s="4" t="s">
        <v>125</v>
      </c>
    </row>
    <row r="47" spans="1:4" ht="56.25" x14ac:dyDescent="0.4">
      <c r="A47" s="4" t="s">
        <v>126</v>
      </c>
      <c r="B47" s="4" t="s">
        <v>127</v>
      </c>
      <c r="C47" s="4" t="s">
        <v>128</v>
      </c>
      <c r="D47" s="4" t="s">
        <v>201</v>
      </c>
    </row>
    <row r="48" spans="1:4" ht="56.25" x14ac:dyDescent="0.4">
      <c r="A48" s="27">
        <v>46286</v>
      </c>
      <c r="B48" s="4" t="s">
        <v>129</v>
      </c>
      <c r="C48" s="4" t="s">
        <v>130</v>
      </c>
      <c r="D48" s="4" t="s">
        <v>131</v>
      </c>
    </row>
    <row r="49" spans="1:4" ht="56.25" x14ac:dyDescent="0.4">
      <c r="A49" s="4" t="s">
        <v>132</v>
      </c>
      <c r="B49" s="4" t="s">
        <v>133</v>
      </c>
      <c r="C49" s="4" t="s">
        <v>134</v>
      </c>
      <c r="D49" s="4" t="s">
        <v>135</v>
      </c>
    </row>
  </sheetData>
  <mergeCells count="9">
    <mergeCell ref="A26:D26"/>
    <mergeCell ref="A39:D39"/>
    <mergeCell ref="A44:D44"/>
    <mergeCell ref="A1:D1"/>
    <mergeCell ref="A2:D2"/>
    <mergeCell ref="A4:D4"/>
    <mergeCell ref="A12:D12"/>
    <mergeCell ref="C13:D17"/>
    <mergeCell ref="A19:D19"/>
  </mergeCells>
  <phoneticPr fontI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Itinerary</vt:lpstr>
      <vt:lpstr>Core Route</vt:lpstr>
      <vt:lpstr>Booking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 SUNNY</dc:creator>
  <cp:lastModifiedBy>YOU SUNNY</cp:lastModifiedBy>
  <dcterms:created xsi:type="dcterms:W3CDTF">2015-06-05T18:17:20Z</dcterms:created>
  <dcterms:modified xsi:type="dcterms:W3CDTF">2026-08-27T04:18:04Z</dcterms:modified>
</cp:coreProperties>
</file>